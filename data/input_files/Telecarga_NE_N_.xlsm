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workbookPr codeName="EstaPasta_de_trabalho"/>
  <mc:AlternateContent xmlns:mc="http://schemas.openxmlformats.org/markup-compatibility/2006">
    <mc:Choice Requires="x15">
      <x15ac:absPath xmlns:x15ac="http://schemas.microsoft.com/office/spreadsheetml/2010/11/ac" url="D:\work\code_projects\active\weather_data_getter\data\input_files\"/>
    </mc:Choice>
  </mc:AlternateContent>
  <xr:revisionPtr revIDLastSave="0" documentId="8_{BDDCAE5D-9E7B-4C30-A4EA-B64A49BC2F1F}" xr6:coauthVersionLast="46" xr6:coauthVersionMax="46" xr10:uidLastSave="{00000000-0000-0000-0000-000000000000}"/>
  <bookViews>
    <workbookView xWindow="4290" yWindow="0" windowWidth="19620" windowHeight="21150" xr2:uid="{00000000-000D-0000-FFFF-FFFF00000000}"/>
  </bookViews>
  <sheets>
    <sheet name="Tabela" sheetId="1" r:id="rId1"/>
    <sheet name="Combos" sheetId="2" r:id="rId2"/>
    <sheet name="Temperatura+Umidade+Site" sheetId="3" r:id="rId3"/>
    <sheet name="Requisa" sheetId="4" r:id="rId4"/>
  </sheets>
  <definedNames>
    <definedName name="tempoCapitais.php?data" localSheetId="2">'Temperatura+Umidade+Site'!$B$2:$E$25</definedName>
    <definedName name="tempoCapitais.php?data________________1" localSheetId="2">'Temperatura+Umidade+Site'!$B$2:$E$25</definedName>
    <definedName name="tempoCapitais.php?data__1" localSheetId="2">'Temperatura+Umidade+Site'!$B$2:$E$25</definedName>
    <definedName name="tempoCapitais.php?data__10" localSheetId="2">'Temperatura+Umidade+Site'!$B$2:$E$25</definedName>
    <definedName name="tempoCapitais.php?data__2" localSheetId="2">'Temperatura+Umidade+Site'!$B$2:$E$25</definedName>
    <definedName name="tempoCapitais.php?data__3" localSheetId="2">'Temperatura+Umidade+Site'!$B$2:$E$25</definedName>
    <definedName name="tempoCapitais.php?data__4" localSheetId="2">'Temperatura+Umidade+Site'!$B$2:$E$25</definedName>
    <definedName name="tempoCapitais.php?data__5" localSheetId="2">'Temperatura+Umidade+Site'!$B$2:$E$25</definedName>
    <definedName name="tempoCapitais.php?data__6" localSheetId="2">'Temperatura+Umidade+Site'!$B$2:$E$25</definedName>
    <definedName name="tempoCapitais.php?data__7" localSheetId="2">'Temperatura+Umidade+Site'!$B$2:$E$25</definedName>
    <definedName name="tempoCapitais.php?data__8" localSheetId="2">'Temperatura+Umidade+Site'!$B$2:$E$25</definedName>
    <definedName name="tempoCapitais.php?data__9" localSheetId="2">'Temperatura+Umidade+Site'!$B$2:$E$25</definedName>
    <definedName name="tempoCapitais.php?data__VALOR" localSheetId="2">'Temperatura+Umidade+Site'!$B$2:$E$26</definedName>
    <definedName name="tempoCapitais.php?data_13_01_2018" localSheetId="2">'Temperatura+Umidade+Site'!$B$2:$E$25</definedName>
    <definedName name="tempoCapitais.php?data_1900_01_01" localSheetId="2">'Temperatura+Umidade+Site'!$B$2:$E$26</definedName>
    <definedName name="tempoCapitais.php?data_1900_02_01" localSheetId="2">'Temperatura+Umidade+Site'!$B$2:$E$26</definedName>
    <definedName name="tempoCapitais.php?data_2015_01_17" localSheetId="2">'Temperatura+Umidade+Site'!$B$2:$E$25</definedName>
    <definedName name="tempoCapitais.php?data_2018_01_13" localSheetId="2">'Temperatura+Umidade+Site'!$B$2:$E$25</definedName>
    <definedName name="tempoCapitais.php?data_2018_01_13_1" localSheetId="2">'Temperatura+Umidade+Site'!$B$2:$E$25</definedName>
    <definedName name="tempoCapitais.php?data_2018_01_13_2" localSheetId="2">'Temperatura+Umidade+Site'!$B$2:$E$25</definedName>
    <definedName name="tempoCapitais.php?data_2018_01_14_1" localSheetId="2">'Temperatura+Umidade+Site'!#REF!</definedName>
    <definedName name="tempoCapitais.php?data_2018_01_15" localSheetId="2">'Temperatura+Umidade+Site'!$B$2:$E$25</definedName>
    <definedName name="tempoCapitais.php?data_2018_01_15_1" localSheetId="2">'Temperatura+Umidade+Site'!$B$2:$E$25</definedName>
    <definedName name="tempoCapitais.php?data_2018_01_15_2" localSheetId="2">'Temperatura+Umidade+Site'!$B$2:$E$25</definedName>
    <definedName name="tempoCapitais.php?data_2018_01_15_3" localSheetId="2">'Temperatura+Umidade+Site'!$B$2:$E$25</definedName>
    <definedName name="tempoCapitais.php?data_2018_01_15_4" localSheetId="2">'Temperatura+Umidade+Site'!#REF!</definedName>
    <definedName name="tempoCapitais.php?data_2018_01_15_5" localSheetId="2">'Temperatura+Umidade+Site'!$B$2:$E$25</definedName>
    <definedName name="tempoCapitais.php?data_2018_01_16_1" localSheetId="2">'Temperatura+Umidade+Site'!#REF!</definedName>
    <definedName name="tempoCapitais.php?data_2018_01_16_2" localSheetId="2">'Temperatura+Umidade+Site'!$B$2:$E$25</definedName>
    <definedName name="tempoCapitais.php?data_2018_01_17" localSheetId="2">'Temperatura+Umidade+Site'!$B$2:$E$25</definedName>
    <definedName name="tempoCapitais.php?data_2018_01_18" localSheetId="2">'Temperatura+Umidade+Site'!$B$2:$E$25</definedName>
    <definedName name="tempoCapitais.php?data_2018_01_23" localSheetId="2">'Temperatura+Umidade+Site'!$B$2:$E$25</definedName>
    <definedName name="tempoCapitais.php?data_2018_01_24" localSheetId="2">'Temperatura+Umidade+Site'!$B$2:$E$25</definedName>
    <definedName name="tempoCapitais.php?data_2018_01_25" localSheetId="2">'Temperatura+Umidade+Site'!$B$2:$E$25</definedName>
    <definedName name="tempoCapitais.php?data_2018_01_25_1" localSheetId="2">'Temperatura+Umidade+Site'!$B$2:$E$25</definedName>
    <definedName name="tempoCapitais.php?data_2018_01_28" localSheetId="2">'Temperatura+Umidade+Site'!$B$2:$E$25</definedName>
    <definedName name="tempoCapitais.php?data_2018_02_13" localSheetId="2">'Temperatura+Umidade+Site'!$B$2:$E$26</definedName>
    <definedName name="tempoCapitais.php?data_2018_02_16" localSheetId="2">'Temperatura+Umidade+Site'!$B$2:$E$26</definedName>
    <definedName name="tempoCapitais.php?data_2018_02_18" localSheetId="2">'Temperatura+Umidade+Site'!$B$2:$E$26</definedName>
    <definedName name="tempoCapitais.php?data_2018_02_18_1" localSheetId="2">'Temperatura+Umidade+Site'!$B$2:$E$26</definedName>
    <definedName name="tempoCapitais.php?data_2018_02_19" localSheetId="2">'Temperatura+Umidade+Site'!$B$2:$E$26</definedName>
    <definedName name="tempoCapitais.php?data_2018_02_20" localSheetId="2">'Temperatura+Umidade+Site'!$B$2:$E$26</definedName>
    <definedName name="tempoCapitais.php?data_2018_02_21" localSheetId="2">'Temperatura+Umidade+Site'!$B$2:$E$26</definedName>
    <definedName name="tempoCapitais.php?data_2018_02_22" localSheetId="2">'Temperatura+Umidade+Site'!$B$2:$E$26</definedName>
    <definedName name="tempoCapitais.php?data_2018_02_25" localSheetId="2">'Temperatura+Umidade+Site'!$B$2:$E$26</definedName>
    <definedName name="tempoCapitais.php?data_2018_02_26" localSheetId="2">'Temperatura+Umidade+Site'!$B$2:$E$26</definedName>
    <definedName name="tempoCapitais.php?data_2018_02_27" localSheetId="2">'Temperatura+Umidade+Site'!$B$2:$E$26</definedName>
    <definedName name="tempoCapitais.php?data_2018_02_28" localSheetId="2">'Temperatura+Umidade+Site'!$B$2:$E$26</definedName>
    <definedName name="tempoCapitais.php?data_2018_03_01" localSheetId="2">'Temperatura+Umidade+Site'!$B$2:$E$26</definedName>
    <definedName name="tempoCapitais.php?data_2018_03_06" localSheetId="2">'Temperatura+Umidade+Site'!$B$2:$E$26</definedName>
    <definedName name="tempoCapitais.php?data_2018_03_07" localSheetId="2">'Temperatura+Umidade+Site'!$B$2:$E$26</definedName>
    <definedName name="tempoCapitais.php?data_2018_03_08" localSheetId="2">'Temperatura+Umidade+Site'!$B$2:$E$26</definedName>
    <definedName name="tempoCapitais.php?data_2018_03_11" localSheetId="2">'Temperatura+Umidade+Site'!$B$2:$E$26</definedName>
    <definedName name="tempoCapitais.php?data_2018_03_12" localSheetId="2">'Temperatura+Umidade+Site'!$B$2:$E$26</definedName>
    <definedName name="tempoCapitais.php?data_2018_03_13" localSheetId="2">'Temperatura+Umidade+Site'!$B$2:$E$26</definedName>
    <definedName name="tempoCapitais.php?data_2018_03_14" localSheetId="2">'Temperatura+Umidade+Site'!$B$2:$E$26</definedName>
    <definedName name="tempoCapitais.php?data_2018_03_15" localSheetId="2">'Temperatura+Umidade+Site'!$B$2:$E$26</definedName>
    <definedName name="tempoCapitais.php?data_2018_03_18" localSheetId="2">'Temperatura+Umidade+Site'!$B$2:$E$26</definedName>
    <definedName name="tempoCapitais.php?data_2018_03_19" localSheetId="2">'Temperatura+Umidade+Site'!$B$2:$E$26</definedName>
    <definedName name="tempoCapitais.php?data_2018_03_20" localSheetId="2">'Temperatura+Umidade+Site'!$B$2:$E$26</definedName>
    <definedName name="tempoCapitais.php?data_2018_03_21" localSheetId="2">'Temperatura+Umidade+Site'!$B$2:$E$26</definedName>
    <definedName name="tempoCapitais.php?data_2018_03_22" localSheetId="2">'Temperatura+Umidade+Site'!$B$2:$E$26</definedName>
    <definedName name="tempoCapitais.php?data_2018_03_25" localSheetId="2">'Temperatura+Umidade+Site'!$B$2:$E$26</definedName>
    <definedName name="tempoCapitais.php?data_2018_03_26" localSheetId="2">'Temperatura+Umidade+Site'!$B$2:$E$26</definedName>
    <definedName name="tempoCapitais.php?data_2018_03_26_1" localSheetId="2">'Temperatura+Umidade+Site'!$B$2:$E$26</definedName>
    <definedName name="tempoCapitais.php?data_2018_04_01" localSheetId="2">'Temperatura+Umidade+Site'!$B$2:$E$26</definedName>
    <definedName name="tempoCapitais.php?data_2018_04_02" localSheetId="2">'Temperatura+Umidade+Site'!$B$2:$E$26</definedName>
    <definedName name="tempoCapitais.php?data_2018_04_03" localSheetId="2">'Temperatura+Umidade+Site'!$B$2:$E$26</definedName>
    <definedName name="tempoCapitais.php?data_2018_04_04" localSheetId="2">'Temperatura+Umidade+Site'!$B$2:$E$26</definedName>
    <definedName name="tempoCapitais.php?data_2018_04_05" localSheetId="2">'Temperatura+Umidade+Site'!$B$2:$E$26</definedName>
    <definedName name="tempoCapitais.php?data_2018_04_08" localSheetId="2">'Temperatura+Umidade+Site'!$B$2:$E$26</definedName>
    <definedName name="tempoCapitais.php?data_2018_04_09" localSheetId="2">'Temperatura+Umidade+Site'!$B$2:$E$26</definedName>
    <definedName name="tempoCapitais.php?data_2018_04_10" localSheetId="2">'Temperatura+Umidade+Site'!$B$2:$E$26</definedName>
    <definedName name="tempoCapitais.php?data_2018_04_11" localSheetId="2">'Temperatura+Umidade+Site'!$B$2:$E$26</definedName>
    <definedName name="tempoCapitais.php?data_2018_04_12" localSheetId="2">'Temperatura+Umidade+Site'!$B$2:$E$26</definedName>
    <definedName name="tempoCapitais.php?data_2018_04_15" localSheetId="2">'Temperatura+Umidade+Site'!$B$2:$E$26</definedName>
    <definedName name="tempoCapitais.php?data_2018_04_16" localSheetId="2">'Temperatura+Umidade+Site'!$B$2:$E$26</definedName>
    <definedName name="tempoCapitais.php?data_2018_05_01" localSheetId="2">'Temperatura+Umidade+Site'!$B$2:$E$26</definedName>
    <definedName name="tempoCapitais.php?data_2018_05_02" localSheetId="2">'Temperatura+Umidade+Site'!$B$2:$E$26</definedName>
    <definedName name="tempoCapitais.php?data_2018_05_03" localSheetId="2">'Temperatura+Umidade+Site'!$B$2:$E$26</definedName>
    <definedName name="tempoCapitais.php?data_2018_05_06" localSheetId="2">'Temperatura+Umidade+Site'!$B$2:$E$26</definedName>
    <definedName name="tempoCapitais.php?data_2018_05_07" localSheetId="2">'Temperatura+Umidade+Site'!$B$2:$E$26</definedName>
    <definedName name="tempoCapitais.php?data_2018_05_08" localSheetId="2">'Temperatura+Umidade+Site'!$B$2:$E$26</definedName>
    <definedName name="tempoCapitais.php?data_2018_05_09" localSheetId="2">'Temperatura+Umidade+Site'!$B$2:$E$26</definedName>
    <definedName name="tempoCapitais.php?data_2018_05_10" localSheetId="2">'Temperatura+Umidade+Site'!$B$2:$E$26</definedName>
    <definedName name="tempoCapitais.php?data_2018_05_13" localSheetId="2">'Temperatura+Umidade+Site'!$B$2:$E$26</definedName>
    <definedName name="tempoCapitais.php?data_2018_05_14" localSheetId="2">'Temperatura+Umidade+Site'!$B$2:$E$26</definedName>
    <definedName name="tempoCapitais.php?data_2018_05_15" localSheetId="2">'Temperatura+Umidade+Site'!$B$2:$E$26</definedName>
    <definedName name="tempoCapitais.php?data_2018_05_16" localSheetId="2">'Temperatura+Umidade+Site'!$B$2:$E$26</definedName>
    <definedName name="tempoCapitais.php?data_2018_05_17" localSheetId="2">'Temperatura+Umidade+Site'!$B$2:$E$26</definedName>
    <definedName name="tempoCapitais.php?data_2018_05_20" localSheetId="2">'Temperatura+Umidade+Site'!$B$2:$E$26</definedName>
    <definedName name="tempoCapitais.php?data_2018_05_21" localSheetId="2">'Temperatura+Umidade+Site'!$B$2:$E$26</definedName>
    <definedName name="tempoCapitais.php?data_2018_05_22" localSheetId="2">'Temperatura+Umidade+Site'!$B$2:$E$26</definedName>
    <definedName name="tempoCapitais.php?data_2018_05_23" localSheetId="2">'Temperatura+Umidade+Site'!$B$2:$E$26</definedName>
    <definedName name="tempoCapitais.php?data_2018_05_24" localSheetId="2">'Temperatura+Umidade+Site'!$B$2:$E$26</definedName>
    <definedName name="tempoCapitais.php?data_2018_05_27" localSheetId="2">'Temperatura+Umidade+Site'!$B$2:$E$26</definedName>
    <definedName name="tempoCapitais.php?data_2018_05_28" localSheetId="2">'Temperatura+Umidade+Site'!$B$2:$E$26</definedName>
    <definedName name="tempoCapitais.php?data_2018_05_29" localSheetId="2">'Temperatura+Umidade+Site'!$B$2:$E$26</definedName>
    <definedName name="tempoCapitais.php?data_2018_06_03" localSheetId="2">'Temperatura+Umidade+Site'!$B$2:$E$26</definedName>
    <definedName name="tempoCapitais.php?data_2018_06_04" localSheetId="2">'Temperatura+Umidade+Site'!$B$2:$E$26</definedName>
    <definedName name="tempoCapitais.php?data_2018_06_05" localSheetId="2">'Temperatura+Umidade+Site'!$B$2:$E$26</definedName>
    <definedName name="tempoCapitais.php?data_2018_06_06" localSheetId="2">'Temperatura+Umidade+Site'!$B$2:$E$26</definedName>
    <definedName name="tempoCapitais.php?data_2018_06_07" localSheetId="2">'Temperatura+Umidade+Site'!$B$2:$E$26</definedName>
    <definedName name="tempoCapitais.php?data_2018_06_10" localSheetId="2">'Temperatura+Umidade+Site'!$B$2:$E$26</definedName>
    <definedName name="tempoCapitais.php?data_2018_06_11" localSheetId="2">'Temperatura+Umidade+Site'!$B$2:$E$26</definedName>
    <definedName name="tempoCapitais.php?data_2018_06_12" localSheetId="2">'Temperatura+Umidade+Site'!$B$2:$E$26</definedName>
    <definedName name="tempoCapitais.php?data_2018_06_17" localSheetId="2">'Temperatura+Umidade+Site'!$B$2:$E$26</definedName>
    <definedName name="tempoCapitais.php?data_2018_06_18" localSheetId="2">'Temperatura+Umidade+Site'!$B$2:$E$26</definedName>
    <definedName name="tempoCapitais.php?data_2018_06_19_1" localSheetId="2">'Temperatura+Umidade+Site'!$B$2:$E$26</definedName>
    <definedName name="tempoCapitais.php?data_2018_06_20" localSheetId="2">'Temperatura+Umidade+Site'!$B$2:$E$26</definedName>
    <definedName name="tempoCapitais.php?data_2018_06_24" localSheetId="2">'Temperatura+Umidade+Site'!$B$2:$E$26</definedName>
    <definedName name="tempoCapitais.php?data_2018_06_25" localSheetId="2">'Temperatura+Umidade+Site'!$B$2:$E$26</definedName>
    <definedName name="tempoCapitais.php?data_2018_06_26" localSheetId="2">'Temperatura+Umidade+Site'!$B$2:$E$26</definedName>
    <definedName name="tempoCapitais.php?data_2018_06_27" localSheetId="2">'Temperatura+Umidade+Site'!$B$2:$E$26</definedName>
    <definedName name="tempoCapitais.php?data_2018_06_28" localSheetId="2">'Temperatura+Umidade+Site'!$B$2:$E$26</definedName>
    <definedName name="tempoCapitais.php?data_2018_07_01" localSheetId="2">'Temperatura+Umidade+Site'!$B$2:$E$26</definedName>
    <definedName name="tempoCapitais.php?data_2018_07_02" localSheetId="2">'Temperatura+Umidade+Site'!$B$2:$E$26</definedName>
    <definedName name="tempoCapitais.php?data_2018_07_03_1" localSheetId="2">'Temperatura+Umidade+Site'!$B$2:$E$26</definedName>
    <definedName name="tempoCapitais.php?data_2018_07_04" localSheetId="2">'Temperatura+Umidade+Site'!$B$2:$E$26</definedName>
    <definedName name="tempoCapitais.php?data_2018_07_05" localSheetId="2">'Temperatura+Umidade+Site'!$B$2:$E$26</definedName>
    <definedName name="tempoCapitais.php?data_2018_07_08" localSheetId="2">'Temperatura+Umidade+Site'!$B$2:$E$26</definedName>
    <definedName name="tempoCapitais.php?data_2018_07_09" localSheetId="2">'Temperatura+Umidade+Site'!$B$2:$E$26</definedName>
    <definedName name="tempoCapitais.php?data_2018_07_10" localSheetId="2">'Temperatura+Umidade+Site'!$B$2:$E$26</definedName>
    <definedName name="tempoCapitais.php?data_2018_07_11" localSheetId="2">'Temperatura+Umidade+Site'!$B$2:$E$26</definedName>
    <definedName name="tempoCapitais.php?data_2018_07_12" localSheetId="2">'Temperatura+Umidade+Site'!$B$2:$E$26</definedName>
    <definedName name="tempoCapitais.php?data_2018_07_15" localSheetId="2">'Temperatura+Umidade+Site'!$B$2:$E$26</definedName>
    <definedName name="tempoCapitais.php?data_2018_08_05" localSheetId="2">'Temperatura+Umidade+Site'!$B$2:$E$26</definedName>
    <definedName name="tempoCapitais.php?data_2018_08_06" localSheetId="2">'Temperatura+Umidade+Site'!$B$2:$E$26</definedName>
    <definedName name="tempoCapitais.php?data_2018_08_06_1" localSheetId="2">'Temperatura+Umidade+Site'!$B$2:$E$26</definedName>
    <definedName name="tempoCapitais.php?data_2018_08_07" localSheetId="2">'Temperatura+Umidade+Site'!$B$2:$E$26</definedName>
    <definedName name="tempoCapitais.php?data_2018_08_07_1" localSheetId="2">'Temperatura+Umidade+Site'!$B$2:$E$26</definedName>
    <definedName name="tempoCapitais.php?data_2018_08_08" localSheetId="2">'Temperatura+Umidade+Site'!$B$2:$E$26</definedName>
    <definedName name="tempoCapitais.php?data_2018_08_09" localSheetId="2">'Temperatura+Umidade+Site'!$B$2:$E$26</definedName>
    <definedName name="tempoCapitais.php?data_2018_08_12" localSheetId="2">'Temperatura+Umidade+Site'!$B$2:$E$26</definedName>
    <definedName name="tempoCapitais.php?data_2018_08_13" localSheetId="2">'Temperatura+Umidade+Site'!$B$2:$E$26</definedName>
    <definedName name="tempoCapitais.php?data_2018_08_14" localSheetId="2">'Temperatura+Umidade+Site'!$B$2:$E$26</definedName>
    <definedName name="tempoCapitais.php?data_2018_08_15" localSheetId="2">'Temperatura+Umidade+Site'!$B$2:$E$26</definedName>
    <definedName name="tempoCapitais.php?data_2018_08_16" localSheetId="2">'Temperatura+Umidade+Site'!$B$2:$E$26</definedName>
    <definedName name="tempoCapitais.php?data_2018_08_19" localSheetId="2">'Temperatura+Umidade+Site'!$B$2:$E$26</definedName>
    <definedName name="tempoCapitais.php?data_2018_08_20" localSheetId="2">'Temperatura+Umidade+Site'!$B$2:$E$26</definedName>
    <definedName name="tempoCapitais.php?data_2018_08_21" localSheetId="2">'Temperatura+Umidade+Site'!$B$2:$E$26</definedName>
    <definedName name="tempoCapitais.php?data_2018_08_22" localSheetId="2">'Temperatura+Umidade+Site'!$B$2:$E$26</definedName>
    <definedName name="tempoCapitais.php?data_2018_08_23" localSheetId="2">'Temperatura+Umidade+Site'!$B$2:$E$26</definedName>
    <definedName name="tempoCapitais.php?data_2018_08_23_1" localSheetId="2">'Temperatura+Umidade+Site'!$B$2:$E$26</definedName>
    <definedName name="tempoCapitais.php?data_2018_08_26" localSheetId="2">'Temperatura+Umidade+Site'!$B$2:$E$26</definedName>
    <definedName name="tempoCapitais.php?data_2018_08_27" localSheetId="2">'Temperatura+Umidade+Site'!$B$2:$E$26</definedName>
    <definedName name="tempoCapitais.php?data_2018_08_28" localSheetId="2">'Temperatura+Umidade+Site'!$B$2:$E$26</definedName>
    <definedName name="tempoCapitais.php?data_2018_08_29" localSheetId="2">'Temperatura+Umidade+Site'!$B$2:$E$26</definedName>
    <definedName name="tempoCapitais.php?data_2018_08_30" localSheetId="2">'Temperatura+Umidade+Site'!$B$2:$E$26</definedName>
    <definedName name="tempoCapitais.php?data_2018_08_30_1" localSheetId="2">'Temperatura+Umidade+Site'!$B$2:$E$26</definedName>
    <definedName name="tempoCapitais.php?data_2018_09_02" localSheetId="2">'Temperatura+Umidade+Site'!$B$2:$E$26</definedName>
    <definedName name="tempoCapitais.php?data_2018_09_03" localSheetId="2">'Temperatura+Umidade+Site'!$B$2:$E$26</definedName>
    <definedName name="tempoCapitais.php?data_2018_09_03_1" localSheetId="2">'Temperatura+Umidade+Site'!$B$2:$E$26</definedName>
    <definedName name="tempoCapitais.php?data_2018_09_04" localSheetId="2">'Temperatura+Umidade+Site'!$B$2:$E$26</definedName>
    <definedName name="tempoCapitais.php?data_2018_09_04_1" localSheetId="2">'Temperatura+Umidade+Site'!$B$2:$E$26</definedName>
    <definedName name="tempoCapitais.php?data_2018_09_05" localSheetId="2">'Temperatura+Umidade+Site'!$B$2:$E$26</definedName>
    <definedName name="tempoCapitais.php?data_2018_09_09" localSheetId="2">'Temperatura+Umidade+Site'!$B$2:$E$26</definedName>
    <definedName name="tempoCapitais.php?data_2018_09_10" localSheetId="2">'Temperatura+Umidade+Site'!$B$2:$E$26</definedName>
    <definedName name="tempoCapitais.php?data_2018_09_11" localSheetId="2">'Temperatura+Umidade+Site'!$B$2:$E$26</definedName>
    <definedName name="tempoCapitais.php?data_2018_09_12" localSheetId="2">'Temperatura+Umidade+Site'!$B$2:$E$26</definedName>
    <definedName name="tempoCapitais.php?data_2018_09_13" localSheetId="2">'Temperatura+Umidade+Site'!$B$2:$E$26</definedName>
    <definedName name="tempoCapitais.php?data_2018_09_16" localSheetId="2">'Temperatura+Umidade+Site'!$B$2:$E$26</definedName>
    <definedName name="tempoCapitais.php?data_2018_09_17" localSheetId="2">'Temperatura+Umidade+Site'!$B$2:$E$26</definedName>
    <definedName name="tempoCapitais.php?data_2018_09_18" localSheetId="2">'Temperatura+Umidade+Site'!$B$2:$E$26</definedName>
    <definedName name="tempoCapitais.php?data_2018_09_19" localSheetId="2">'Temperatura+Umidade+Site'!$B$2:$E$26</definedName>
    <definedName name="tempoCapitais.php?data_2018_09_20" localSheetId="2">'Temperatura+Umidade+Site'!$B$2:$E$26</definedName>
    <definedName name="tempoCapitais.php?data_2018_09_23" localSheetId="2">'Temperatura+Umidade+Site'!$B$2:$E$26</definedName>
    <definedName name="tempoCapitais.php?data_2018_09_24" localSheetId="2">'Temperatura+Umidade+Site'!$B$2:$E$26</definedName>
    <definedName name="tempoCapitais.php?data_2018_09_25" localSheetId="2">'Temperatura+Umidade+Site'!$B$2:$E$26</definedName>
    <definedName name="tempoCapitais.php?data_2018_09_26" localSheetId="2">'Temperatura+Umidade+Site'!$B$2:$E$26</definedName>
    <definedName name="tempoCapitais.php?data_2018_09_27" localSheetId="2">'Temperatura+Umidade+Site'!$B$2:$E$26</definedName>
    <definedName name="tempoCapitais.php?data_2018_09_30" localSheetId="2">'Temperatura+Umidade+Site'!$B$2:$E$26</definedName>
    <definedName name="tempoCapitais.php?data_2018_10_01" localSheetId="2">'Temperatura+Umidade+Site'!$B$2:$E$26</definedName>
    <definedName name="tempoCapitais.php?data_2018_10_02" localSheetId="2">'Temperatura+Umidade+Site'!$B$2:$E$26</definedName>
    <definedName name="tempoCapitais.php?data_2018_10_02_1" localSheetId="2">'Temperatura+Umidade+Site'!$B$2:$E$26</definedName>
    <definedName name="tempoCapitais.php?data_2018_10_03" localSheetId="2">'Temperatura+Umidade+Site'!$B$2:$E$26</definedName>
    <definedName name="tempoCapitais.php?data_2018_10_03_1" localSheetId="2">'Temperatura+Umidade+Site'!$B$2:$E$26</definedName>
    <definedName name="tempoCapitais.php?data_2018_10_04" localSheetId="2">'Temperatura+Umidade+Site'!$B$2:$E$26</definedName>
    <definedName name="tempoCapitais.php?data_2018_10_07" localSheetId="2">'Temperatura+Umidade+Site'!$B$2:$E$26</definedName>
    <definedName name="tempoCapitais.php?data_2018_10_08" localSheetId="2">'Temperatura+Umidade+Site'!$B$2:$E$26</definedName>
    <definedName name="tempoCapitais.php?data_2018_10_09" localSheetId="2">'Temperatura+Umidade+Site'!$B$2:$E$26</definedName>
    <definedName name="tempoCapitais.php?data_2018_10_10" localSheetId="2">'Temperatura+Umidade+Site'!$B$2:$E$26</definedName>
    <definedName name="tempoCapitais.php?data_2018_10_28" localSheetId="2">'Temperatura+Umidade+Site'!$B$2:$E$26</definedName>
    <definedName name="tempoCapitais.php?data_2018_10_29" localSheetId="2">'Temperatura+Umidade+Site'!$B$2:$E$26</definedName>
    <definedName name="tempoCapitais.php?data_2018_10_30" localSheetId="2">'Temperatura+Umidade+Site'!$B$2:$E$26</definedName>
    <definedName name="tempoCapitais.php?data_2018_10_31" localSheetId="2">'Temperatura+Umidade+Site'!$B$2:$E$26</definedName>
    <definedName name="tempoCapitais.php?data_2018_11_04" localSheetId="2">'Temperatura+Umidade+Site'!$B$2:$E$26</definedName>
    <definedName name="tempoCapitais.php?data_2018_11_05" localSheetId="2">'Temperatura+Umidade+Site'!$B$2:$E$26</definedName>
    <definedName name="tempoCapitais.php?data_2018_11_06" localSheetId="2">'Temperatura+Umidade+Site'!$B$2:$E$26</definedName>
    <definedName name="tempoCapitais.php?data_2018_11_07" localSheetId="2">'Temperatura+Umidade+Site'!$B$2:$E$26</definedName>
    <definedName name="tempoCapitais.php?data_2018_11_08" localSheetId="2">'Temperatura+Umidade+Site'!$B$2:$E$26</definedName>
    <definedName name="tempoCapitais.php?data_2018_11_11" localSheetId="2">'Temperatura+Umidade+Site'!$B$2:$E$26</definedName>
    <definedName name="tempoCapitais.php?data_2018_11_12" localSheetId="2">'Temperatura+Umidade+Site'!$B$2:$E$26</definedName>
    <definedName name="tempoCapitais.php?data_2018_11_13" localSheetId="2">'Temperatura+Umidade+Site'!$B$2:$E$26</definedName>
    <definedName name="tempoCapitais.php?data_2018_11_18" localSheetId="2">'Temperatura+Umidade+Site'!$B$2:$E$26</definedName>
    <definedName name="tempoCapitais.php?data_2018_11_20" localSheetId="2">'Temperatura+Umidade+Site'!$B$2:$E$26</definedName>
    <definedName name="tempoCapitais.php?data_2018_11_21" localSheetId="2">'Temperatura+Umidade+Site'!$B$2:$E$26</definedName>
    <definedName name="tempoCapitais.php?data_2018_11_22" localSheetId="2">'Temperatura+Umidade+Site'!$B$2:$E$26</definedName>
    <definedName name="tempoCapitais.php?data_2018_11_25" localSheetId="2">'Temperatura+Umidade+Site'!$B$2:$E$26</definedName>
    <definedName name="tempoCapitais.php?data_2018_11_25_1" localSheetId="2">'Temperatura+Umidade+Site'!$B$2:$E$26</definedName>
    <definedName name="tempoCapitais.php?data_2018_12_03" localSheetId="2">'Temperatura+Umidade+Site'!$B$2:$E$26</definedName>
    <definedName name="tempoCapitais.php?data_2018_12_04" localSheetId="2">'Temperatura+Umidade+Site'!$B$2:$E$26</definedName>
    <definedName name="tempoCapitais.php?data_2018_12_09" localSheetId="2">'Temperatura+Umidade+Site'!$B$2:$E$26</definedName>
    <definedName name="tempoCapitais.php?data_2018_12_10" localSheetId="2">'Temperatura+Umidade+Site'!$B$2:$E$26</definedName>
    <definedName name="tempoCapitais.php?data_2018_12_11" localSheetId="2">'Temperatura+Umidade+Site'!$B$2:$E$26</definedName>
    <definedName name="tempoCapitais.php?data_2018_12_12" localSheetId="2">'Temperatura+Umidade+Site'!$B$2:$E$26</definedName>
    <definedName name="tempoCapitais.php?data_2018_12_13" localSheetId="2">'Temperatura+Umidade+Site'!$B$2:$E$26</definedName>
    <definedName name="tempoCapitais.php?data_2018_12_16" localSheetId="2">'Temperatura+Umidade+Site'!$B$2:$E$26</definedName>
    <definedName name="tempoCapitais.php?data_2018_12_17" localSheetId="2">'Temperatura+Umidade+Site'!$B$2:$E$26</definedName>
    <definedName name="tempoCapitais.php?data_2018_12_18" localSheetId="2">'Temperatura+Umidade+Site'!$B$2:$E$26</definedName>
    <definedName name="tempoCapitais.php?data_2018_12_18_1" localSheetId="2">'Temperatura+Umidade+Site'!$B$2:$E$26</definedName>
    <definedName name="tempoCapitais.php?data_2018_12_19" localSheetId="2">'Temperatura+Umidade+Site'!$B$2:$E$26</definedName>
    <definedName name="tempoCapitais.php?data_2018_12_19_1" localSheetId="2">'Temperatura+Umidade+Site'!$B$2:$E$26</definedName>
    <definedName name="tempoCapitais.php?data_2018_12_20" localSheetId="2">'Temperatura+Umidade+Site'!$B$2:$E$26</definedName>
    <definedName name="tempoCapitais.php?data_2018_12_20_1" localSheetId="2">'Temperatura+Umidade+Site'!$B$2:$E$26</definedName>
    <definedName name="tempoCapitais.php?data_2018_12_25" localSheetId="2">'Temperatura+Umidade+Site'!$B$2:$E$26</definedName>
    <definedName name="tempoCapitais.php?data_2018_12_26" localSheetId="2">'Temperatura+Umidade+Site'!$B$2:$E$26</definedName>
    <definedName name="tempoCapitais.php?data_2018_12_27" localSheetId="2">'Temperatura+Umidade+Site'!$B$2:$E$26</definedName>
    <definedName name="tempoCapitais.php?data_2019_01_01" localSheetId="2">'Temperatura+Umidade+Site'!$B$2:$E$26</definedName>
    <definedName name="tempoCapitais.php?data_2019_01_01_1" localSheetId="2">'Temperatura+Umidade+Site'!$B$2:$E$26</definedName>
    <definedName name="tempoCapitais.php?data_2019_01_02" localSheetId="2">'Temperatura+Umidade+Site'!$B$2:$E$26</definedName>
    <definedName name="tempoCapitais.php?data_2019_01_02_1" localSheetId="2">'Temperatura+Umidade+Site'!$B$2:$E$26</definedName>
    <definedName name="tempoCapitais.php?data_2019_01_03" localSheetId="2">'Temperatura+Umidade+Site'!$B$2:$E$26</definedName>
    <definedName name="tempoCapitais.php?data_2019_01_06" localSheetId="2">'Temperatura+Umidade+Site'!$B$2:$E$26</definedName>
    <definedName name="tempoCapitais.php?data_2019_01_07" localSheetId="2">'Temperatura+Umidade+Site'!$B$2:$E$26</definedName>
    <definedName name="tempoCapitais.php?data_2019_01_08" localSheetId="2">'Temperatura+Umidade+Site'!$B$2:$E$26</definedName>
    <definedName name="tempoCapitais.php?data_2019_01_09" localSheetId="2">'Temperatura+Umidade+Site'!$B$2:$E$26</definedName>
    <definedName name="tempoCapitais.php?data_2019_01_09_1" localSheetId="2">'Temperatura+Umidade+Site'!$B$2:$E$26</definedName>
    <definedName name="tempoCapitais.php?data_2019_01_10" localSheetId="2">'Temperatura+Umidade+Site'!$B$2:$E$26</definedName>
    <definedName name="tempoCapitais.php?data_2019_01_13" localSheetId="2">'Temperatura+Umidade+Site'!$B$2:$E$26</definedName>
    <definedName name="tempoCapitais.php?data_2019_01_14" localSheetId="2">'Temperatura+Umidade+Site'!$B$2:$E$26</definedName>
    <definedName name="tempoCapitais.php?data_2019_01_15" localSheetId="2">'Temperatura+Umidade+Site'!$B$2:$E$26</definedName>
    <definedName name="tempoCapitais.php?data_2019_01_16" localSheetId="2">'Temperatura+Umidade+Site'!$B$2:$E$25</definedName>
    <definedName name="tempoCapitais.php?data_2019_01_17" localSheetId="2">'Temperatura+Umidade+Site'!$B$2:$E$25</definedName>
    <definedName name="tempoCapitais.php?data_2019_01_20" localSheetId="2">'Temperatura+Umidade+Site'!$B$2:$E$25</definedName>
    <definedName name="tempoCapitais.php?data_2019_01_21" localSheetId="2">'Temperatura+Umidade+Site'!$B$2:$E$25</definedName>
    <definedName name="tempoCapitais.php?data_2019_01_22" localSheetId="2">'Temperatura+Umidade+Site'!$B$2:$E$25</definedName>
    <definedName name="tempoCapitais.php?data_2019_01_23" localSheetId="2">'Temperatura+Umidade+Site'!$B$2:$E$25</definedName>
    <definedName name="tempoCapitais.php?data_2019_01_24" localSheetId="2">'Temperatura+Umidade+Site'!$B$2:$E$25</definedName>
    <definedName name="tempoCapitais.php?data_2019_01_27" localSheetId="2">'Temperatura+Umidade+Site'!$B$2:$E$25</definedName>
    <definedName name="tempoCapitais.php?data_2019_01_28" localSheetId="2">'Temperatura+Umidade+Site'!$B$2:$E$25</definedName>
    <definedName name="tempoCapitais.php?data_2019_01_29" localSheetId="2">'Temperatura+Umidade+Site'!$B$2:$E$25</definedName>
    <definedName name="tempoCapitais.php?data_2019_01_30" localSheetId="2">'Temperatura+Umidade+Site'!$B$2:$E$25</definedName>
    <definedName name="tempoCapitais.php?data_2019_01_31" localSheetId="2">'Temperatura+Umidade+Site'!$B$2:$E$25</definedName>
    <definedName name="tempoCapitais.php?data_2019_02_03" localSheetId="2">'Temperatura+Umidade+Site'!$B$2:$E$25</definedName>
    <definedName name="tempoCapitais.php?data_2019_02_04" localSheetId="2">'Temperatura+Umidade+Site'!$B$2:$E$28</definedName>
    <definedName name="tempoCapitais.php?data_2019_02_05" localSheetId="2">'Temperatura+Umidade+Site'!$B$2:$E$26</definedName>
    <definedName name="tempoCapitais.php?data_2019_02_05_1" localSheetId="2">'Temperatura+Umidade+Site'!$B$2:$E$26</definedName>
    <definedName name="tempoCapitais.php?data_2019_02_06" localSheetId="2">'Temperatura+Umidade+Site'!$B$2:$E$2</definedName>
    <definedName name="tempoCapitais.php?data_2019_02_06_1" localSheetId="2">'Temperatura+Umidade+Site'!$B$2:$E$26</definedName>
    <definedName name="tempoCapitais.php?data_2019_02_07" localSheetId="2">'Temperatura+Umidade+Site'!$B$2:$E$26</definedName>
    <definedName name="tempoCapitais.php?data_2019_02_17" localSheetId="2">'Temperatura+Umidade+Site'!$B$2:$E$26</definedName>
    <definedName name="tempoCapitais.php?data_2019_02_18" localSheetId="2">'Temperatura+Umidade+Site'!$B$2:$E$26</definedName>
    <definedName name="tempoCapitais.php?data_2019_02_19" localSheetId="2">'Temperatura+Umidade+Site'!$B$2:$E$26</definedName>
    <definedName name="tempoCapitais.php?data_2019_02_20" localSheetId="2">'Temperatura+Umidade+Site'!$B$2:$E$26</definedName>
    <definedName name="tempoCapitais.php?data_2019_02_21" localSheetId="2">'Temperatura+Umidade+Site'!$B$2:$E$26</definedName>
    <definedName name="tempoCapitais.php?data_2019_02_24" localSheetId="2">'Temperatura+Umidade+Site'!$B$2:$E$26</definedName>
    <definedName name="tempoCapitais.php?data_2019_02_25" localSheetId="2">'Temperatura+Umidade+Site'!$B$2:$E$26</definedName>
    <definedName name="tempoCapitais.php?data_2019_02_26" localSheetId="2">'Temperatura+Umidade+Site'!$B$2:$E$26</definedName>
    <definedName name="tempoCapitais.php?data_2019_02_27" localSheetId="2">'Temperatura+Umidade+Site'!$B$2:$E$26</definedName>
    <definedName name="tempoCapitais.php?data_2019_02_28" localSheetId="2">'Temperatura+Umidade+Site'!$B$2:$E$26</definedName>
    <definedName name="tempoCapitais.php?data_2019_03_06" localSheetId="2">'Temperatura+Umidade+Site'!$B$2:$E$26</definedName>
    <definedName name="tempoCapitais.php?data_2019_03_07" localSheetId="2">'Temperatura+Umidade+Site'!$B$2:$E$26</definedName>
    <definedName name="tempoCapitais.php?data_2019_03_10" localSheetId="2">'Temperatura+Umidade+Site'!$B$2:$E$26</definedName>
    <definedName name="tempoCapitais.php?data_2019_03_11" localSheetId="2">'Temperatura+Umidade+Site'!$B$2:$E$26</definedName>
    <definedName name="tempoCapitais.php?data_2019_03_12" localSheetId="2">'Temperatura+Umidade+Site'!$B$2:$E$26</definedName>
    <definedName name="tempoCapitais.php?data_2019_03_13" localSheetId="2">'Temperatura+Umidade+Site'!$B$2:$E$26</definedName>
    <definedName name="tempoCapitais.php?data_2019_03_14" localSheetId="2">'Temperatura+Umidade+Site'!$B$2:$E$26</definedName>
    <definedName name="tempoCapitais.php?data_2019_03_17" localSheetId="2">'Temperatura+Umidade+Site'!$B$2:$E$26</definedName>
    <definedName name="tempoCapitais.php?data_2019_03_18" localSheetId="2">'Temperatura+Umidade+Site'!$B$2:$E$26</definedName>
    <definedName name="tempoCapitais.php?data_2019_03_19" localSheetId="2">'Temperatura+Umidade+Site'!$B$2:$E$26</definedName>
    <definedName name="tempoCapitais.php?data_2019_03_20" localSheetId="2">'Temperatura+Umidade+Site'!$B$2:$E$26</definedName>
    <definedName name="tempoCapitais.php?data_2019_03_20_1" localSheetId="2">'Temperatura+Umidade+Site'!$B$2:$E$26</definedName>
    <definedName name="tempoCapitais.php?data_2019_03_21" localSheetId="2">'Temperatura+Umidade+Site'!$B$2:$E$26</definedName>
    <definedName name="tempoCapitais.php?data_2019_03_21_1" localSheetId="2">'Temperatura+Umidade+Site'!$B$2:$E$26</definedName>
    <definedName name="tempoCapitais.php?data_2019_03_21_2" localSheetId="2">'Temperatura+Umidade+Site'!$B$2:$E$26</definedName>
    <definedName name="tempoCapitais.php?data_2019_03_24" localSheetId="2">'Temperatura+Umidade+Site'!$B$2:$E$26</definedName>
    <definedName name="tempoCapitais.php?data_2019_03_25" localSheetId="2">'Temperatura+Umidade+Site'!$B$2:$E$26</definedName>
    <definedName name="tempoCapitais.php?data_2019_03_26" localSheetId="2">'Temperatura+Umidade+Site'!$B$2:$E$26</definedName>
    <definedName name="tempoCapitais.php?data_2019_03_27" localSheetId="2">'Temperatura+Umidade+Site'!$B$2:$E$26</definedName>
    <definedName name="tempoCapitais.php?data_2019_03_28" localSheetId="2">'Temperatura+Umidade+Site'!$B$2:$E$26</definedName>
    <definedName name="tempoCapitais.php?data_2019_03_31" localSheetId="2">'Temperatura+Umidade+Site'!$B$2:$E$26</definedName>
    <definedName name="tempoCapitais.php?data_2019_04_01" localSheetId="2">'Temperatura+Umidade+Site'!$B$2:$E$26</definedName>
    <definedName name="tempoCapitais.php?data_2019_04_02" localSheetId="2">'Temperatura+Umidade+Site'!$B$2:$E$26</definedName>
    <definedName name="tempoCapitais.php?data_2019_04_03" localSheetId="2">'Temperatura+Umidade+Site'!$B$2:$E$26</definedName>
    <definedName name="tempoCapitais.php?data_2019_04_04" localSheetId="2">'Temperatura+Umidade+Site'!$B$2:$E$26</definedName>
    <definedName name="tempoCapitais.php?data_2019_04_07" localSheetId="2">'Temperatura+Umidade+Site'!$B$2:$E$26</definedName>
    <definedName name="tempoCapitais.php?data_2019_04_08" localSheetId="2">'Temperatura+Umidade+Site'!$B$2:$E$26</definedName>
    <definedName name="tempoCapitais.php?data_2019_04_09" localSheetId="2">'Temperatura+Umidade+Site'!$B$2:$E$26</definedName>
    <definedName name="tempoCapitais.php?data_2019_04_10" localSheetId="2">'Temperatura+Umidade+Site'!$B$2:$E$26</definedName>
    <definedName name="tempoCapitais.php?data_2019_04_11" localSheetId="2">'Temperatura+Umidade+Site'!$B$2:$E$26</definedName>
    <definedName name="tempoCapitais.php?data_2019_04_14" localSheetId="2">'Temperatura+Umidade+Site'!$B$2:$E$26</definedName>
    <definedName name="tempoCapitais.php?data_2019_04_15" localSheetId="2">'Temperatura+Umidade+Site'!$B$2:$E$26</definedName>
    <definedName name="tempoCapitais.php?data_2019_04_16" localSheetId="2">'Temperatura+Umidade+Site'!$B$2:$E$26</definedName>
    <definedName name="tempoCapitais.php?data_2019_04_17" localSheetId="2">'Temperatura+Umidade+Site'!$B$2:$E$26</definedName>
    <definedName name="tempoCapitais.php?data_2019_04_21" localSheetId="2">'Temperatura+Umidade+Site'!$B$2:$E$26</definedName>
    <definedName name="tempoCapitais.php?data_2019_04_23" localSheetId="2">'Temperatura+Umidade+Site'!$B$2:$E$26</definedName>
    <definedName name="tempoCapitais.php?data_2019_04_24" localSheetId="2">'Temperatura+Umidade+Site'!$B$2:$E$26</definedName>
    <definedName name="tempoCapitais.php?data_2019_04_25" localSheetId="2">'Temperatura+Umidade+Site'!$B$2:$E$26</definedName>
    <definedName name="tempoCapitais.php?data_2019_04_28" localSheetId="2">'Temperatura+Umidade+Site'!$B$2:$E$26</definedName>
    <definedName name="tempoCapitais.php?data_2019_04_29" localSheetId="2">'Temperatura+Umidade+Site'!$B$2:$E$26</definedName>
    <definedName name="tempoCapitais.php?data_2019_05_01" localSheetId="2">'Temperatura+Umidade+Site'!$B$2:$E$26</definedName>
    <definedName name="tempoCapitais.php?data_2019_05_01_1" localSheetId="2">'Temperatura+Umidade+Site'!$B$2:$E$26</definedName>
    <definedName name="tempoCapitais.php?data_2019_05_02" localSheetId="2">'Temperatura+Umidade+Site'!$B$2:$E$26</definedName>
    <definedName name="tempoCapitais.php?data_2019_05_05" localSheetId="2">'Temperatura+Umidade+Site'!$B$2:$E$26</definedName>
    <definedName name="tempoCapitais.php?data_2019_05_06" localSheetId="2">'Temperatura+Umidade+Site'!$B$2:$E$26</definedName>
    <definedName name="tempoCapitais.php?data_2019_05_07" localSheetId="2">'Temperatura+Umidade+Site'!$B$2:$E$26</definedName>
    <definedName name="tempoCapitais.php?data_2019_05_08" localSheetId="2">'Temperatura+Umidade+Site'!$B$2:$E$26</definedName>
    <definedName name="tempoCapitais.php?data_2019_05_09" localSheetId="2">'Temperatura+Umidade+Site'!$B$2:$E$26</definedName>
    <definedName name="tempoCapitais.php?data_2019_05_12" localSheetId="2">'Temperatura+Umidade+Site'!$B$2:$E$26</definedName>
    <definedName name="tempoCapitais.php?data_2019_05_13" localSheetId="2">'Temperatura+Umidade+Site'!$B$2:$E$26</definedName>
    <definedName name="tempoCapitais.php?data_2019_05_13_1" localSheetId="2">'Temperatura+Umidade+Site'!$B$2:$E$26</definedName>
    <definedName name="tempoCapitais.php?data_2019_05_14" localSheetId="2">'Temperatura+Umidade+Site'!$B$2:$E$26</definedName>
    <definedName name="tempoCapitais.php?data_2019_05_15" localSheetId="2">'Temperatura+Umidade+Site'!$B$2:$E$26</definedName>
    <definedName name="tempoCapitais.php?data_2019_05_16" localSheetId="2">'Temperatura+Umidade+Site'!$B$2:$E$26</definedName>
    <definedName name="tempoCapitais.php?data_2019_05_19" localSheetId="2">'Temperatura+Umidade+Site'!$B$2:$E$26</definedName>
    <definedName name="tempoCapitais.php?data_2019_05_20" localSheetId="2">'Temperatura+Umidade+Site'!$B$2:$E$26</definedName>
    <definedName name="tempoCapitais.php?data_2019_05_20_1" localSheetId="2">'Temperatura+Umidade+Site'!$B$2:$E$26</definedName>
    <definedName name="tempoCapitais.php?data_2019_05_21" localSheetId="2">'Temperatura+Umidade+Site'!$B$2:$E$26</definedName>
    <definedName name="tempoCapitais.php?data_2019_05_21_1" localSheetId="2">'Temperatura+Umidade+Site'!$B$2:$E$26</definedName>
    <definedName name="tempoCapitais.php?data_2019_05_22" localSheetId="2">'Temperatura+Umidade+Site'!$B$2:$E$26</definedName>
    <definedName name="tempoCapitais.php?data_2019_05_23" localSheetId="2">'Temperatura+Umidade+Site'!$B$2:$E$26</definedName>
    <definedName name="tempoCapitais.php?data_2019_05_26" localSheetId="2">'Temperatura+Umidade+Site'!$B$2:$E$26</definedName>
    <definedName name="tempoCapitais.php?data_2019_05_27" localSheetId="2">'Temperatura+Umidade+Site'!$B$2:$E$26</definedName>
    <definedName name="tempoCapitais.php?data_2019_05_27_1" localSheetId="2">'Temperatura+Umidade+Site'!$B$2:$E$26</definedName>
    <definedName name="tempoCapitais.php?data_2019_05_28" localSheetId="2">'Temperatura+Umidade+Site'!$B$2:$E$26</definedName>
    <definedName name="tempoCapitais.php?data_2019_05_28_1" localSheetId="2">'Temperatura+Umidade+Site'!$B$2:$E$26</definedName>
    <definedName name="tempoCapitais.php?data_2019_05_28_2" localSheetId="2">'Temperatura+Umidade+Site'!$B$2:$E$26</definedName>
    <definedName name="tempoCapitais.php?data_2019_05_29" localSheetId="2">'Temperatura+Umidade+Site'!$B$2:$E$26</definedName>
    <definedName name="tempoCapitais.php?data_2019_05_30" localSheetId="2">'Temperatura+Umidade+Site'!$B$2:$E$26</definedName>
    <definedName name="tempoCapitais.php?data_2019_06_01" localSheetId="2">'Temperatura+Umidade+Site'!$B$2:$E$26</definedName>
    <definedName name="tempoCapitais.php?data_2019_06_02" localSheetId="2">'Temperatura+Umidade+Site'!$B$2:$E$26</definedName>
    <definedName name="tempoCapitais.php?data_2019_06_03" localSheetId="2">'Temperatura+Umidade+Site'!$B$2:$E$26</definedName>
    <definedName name="tempoCapitais.php?data_2019_06_04" localSheetId="2">'Temperatura+Umidade+Site'!$B$2:$E$26</definedName>
    <definedName name="tempoCapitais.php?data_2019_06_05" localSheetId="2">'Temperatura+Umidade+Site'!$B$2:$E$26</definedName>
    <definedName name="tempoCapitais.php?data_2019_06_06" localSheetId="2">'Temperatura+Umidade+Site'!$B$2:$E$26</definedName>
    <definedName name="tempoCapitais.php?data_2019_06_09" localSheetId="2">'Temperatura+Umidade+Site'!$B$2:$E$26</definedName>
    <definedName name="tempoCapitais.php?data_2019_06_10" localSheetId="2">'Temperatura+Umidade+Site'!$B$2:$E$26</definedName>
    <definedName name="tempoCapitais.php?data_2019_06_11" localSheetId="2">'Temperatura+Umidade+Site'!$B$2:$E$26</definedName>
    <definedName name="tempoCapitais.php?data_2019_06_12" localSheetId="2">'Temperatura+Umidade+Site'!$B$2:$E$26</definedName>
    <definedName name="tempoCapitais.php?data_2019_06_13" localSheetId="2">'Temperatura+Umidade+Site'!$B$2:$E$26</definedName>
    <definedName name="tempoCapitais.php?data_2019_06_16" localSheetId="2">'Temperatura+Umidade+Site'!$B$2:$E$26</definedName>
    <definedName name="tempoCapitais.php?data_2019_06_17" localSheetId="2">'Temperatura+Umidade+Site'!$B$2:$E$26</definedName>
    <definedName name="tempoCapitais.php?data_2019_06_18" localSheetId="2">'Temperatura+Umidade+Site'!$B$2:$E$26</definedName>
    <definedName name="tempoCapitais.php?data_2019_06_23" localSheetId="2">'Temperatura+Umidade+Site'!$B$2:$E$26</definedName>
    <definedName name="tempoCapitais.php?data_2019_06_24" localSheetId="2">'Temperatura+Umidade+Site'!$B$2:$E$26</definedName>
    <definedName name="tempoCapitais.php?data_2019_06_24_1" localSheetId="2">'Temperatura+Umidade+Site'!$B$2:$E$26</definedName>
    <definedName name="tempoCapitais.php?data_2019_06_25" localSheetId="2">'Temperatura+Umidade+Site'!$B$2:$E$26</definedName>
    <definedName name="tempoCapitais.php?data_2019_06_26" localSheetId="2">'Temperatura+Umidade+Site'!$B$2:$E$26</definedName>
    <definedName name="tempoCapitais.php?data_2019_06_27" localSheetId="2">'Temperatura+Umidade+Site'!$B$2:$E$26</definedName>
    <definedName name="tempoCapitais.php?data_2019_06_30" localSheetId="2">'Temperatura+Umidade+Site'!$B$2:$E$26</definedName>
    <definedName name="tempoCapitais.php?data_2019_07_01" localSheetId="2">'Temperatura+Umidade+Site'!$B$2:$E$26</definedName>
    <definedName name="tempoCapitais.php?data_2019_07_02" localSheetId="2">'Temperatura+Umidade+Site'!$B$2:$E$26</definedName>
    <definedName name="tempoCapitais.php?data_2019_07_03" localSheetId="2">'Temperatura+Umidade+Site'!$B$2:$E$26</definedName>
    <definedName name="tempoCapitais.php?data_2019_07_04" localSheetId="2">'Temperatura+Umidade+Site'!$B$2:$E$26</definedName>
    <definedName name="tempoCapitais.php?data_2019_07_07" localSheetId="2">'Temperatura+Umidade+Site'!$B$2:$E$26</definedName>
    <definedName name="tempoCapitais.php?data_2019_07_08" localSheetId="2">'Temperatura+Umidade+Site'!$B$2:$E$26</definedName>
    <definedName name="tempoCapitais.php?data_2019_07_09" localSheetId="2">'Temperatura+Umidade+Site'!$B$2:$E$26</definedName>
    <definedName name="tempoCapitais.php?data_2019_07_10" localSheetId="2">'Temperatura+Umidade+Site'!$B$2:$E$26</definedName>
    <definedName name="tempoCapitais.php?data_2019_07_11" localSheetId="2">'Temperatura+Umidade+Site'!$B$2:$E$26</definedName>
    <definedName name="tempoCapitais.php?data_2019_07_14" localSheetId="2">'Temperatura+Umidade+Site'!$B$2:$E$26</definedName>
    <definedName name="tempoCapitais.php?data_2019_07_16" localSheetId="2">'Temperatura+Umidade+Site'!$B$2:$E$26</definedName>
    <definedName name="tempoCapitais.php?data_2019_07_17" localSheetId="2">'Temperatura+Umidade+Site'!$B$2:$E$26</definedName>
    <definedName name="tempoCapitais.php?data_2019_07_18" localSheetId="2">'Temperatura+Umidade+Site'!$B$2:$E$26</definedName>
    <definedName name="tempoCapitais.php?data_2019_07_19" localSheetId="2">'Temperatura+Umidade+Site'!$B$2:$E$26</definedName>
    <definedName name="tempoCapitais.php?data_2019_07_21" localSheetId="2">'Temperatura+Umidade+Site'!$B$2:$E$26</definedName>
    <definedName name="tempoCapitais.php?data_2019_07_22" localSheetId="2">'Temperatura+Umidade+Site'!$B$2:$E$26</definedName>
    <definedName name="tempoCapitais.php?data_2019_07_23" localSheetId="2">'Temperatura+Umidade+Site'!$B$2:$E$26</definedName>
    <definedName name="tempoCapitais.php?data_2019_07_24" localSheetId="2">'Temperatura+Umidade+Site'!$B$2:$E$26</definedName>
    <definedName name="tempoCapitais.php?data_2019_07_25" localSheetId="2">'Temperatura+Umidade+Site'!$B$2:$E$26</definedName>
    <definedName name="tempoCapitais.php?data_2019_09_30" localSheetId="2">'Temperatura+Umidade+Site'!$B$2:$E$26</definedName>
    <definedName name="tempoCapitais.php?data_2019_10_01" localSheetId="2">'Temperatura+Umidade+Site'!$B$2:$E$26</definedName>
    <definedName name="tempoCapitais.php?data_2019_10_01_1" localSheetId="2">'Temperatura+Umidade+Site'!$B$2:$E$26</definedName>
    <definedName name="tempoCapitais.php?data_2019_10_02" localSheetId="2">'Temperatura+Umidade+Site'!$B$2:$E$26</definedName>
    <definedName name="tempoCapitais.php?data_2019_10_03" localSheetId="2">'Temperatura+Umidade+Site'!$B$2:$E$26</definedName>
    <definedName name="tempoCapitais.php?data_2019_10_06" localSheetId="2">'Temperatura+Umidade+Site'!$B$2:$E$26</definedName>
    <definedName name="tempoCapitais.php?data_2019_10_07" localSheetId="2">'Temperatura+Umidade+Site'!$B$2:$E$26</definedName>
    <definedName name="tempoCapitais.php?data_2019_10_08" localSheetId="2">'Temperatura+Umidade+Site'!$B$2:$E$26</definedName>
    <definedName name="tempoCapitais.php?data_2019_10_09" localSheetId="2">'Temperatura+Umidade+Site'!$B$2:$E$26</definedName>
    <definedName name="tempoCapitais.php?data_2019_10_10" localSheetId="2">'Temperatura+Umidade+Site'!$B$2:$E$26</definedName>
    <definedName name="tempoCapitais.php?data_2019_10_13" localSheetId="2">'Temperatura+Umidade+Site'!$B$2:$E$26</definedName>
    <definedName name="tempoCapitais.php?data_2019_10_14" localSheetId="2">'Temperatura+Umidade+Site'!$B$2:$E$26</definedName>
    <definedName name="tempoCapitais.php?data_2019_12_01" localSheetId="2">'Temperatura+Umidade+Site'!$B$2:$E$26</definedName>
    <definedName name="tempoCapitais.php?data_2019_12_02" localSheetId="2">'Temperatura+Umidade+Site'!$B$2:$E$26</definedName>
    <definedName name="tempoCapitais.php?data_2019_12_03" localSheetId="2">'Temperatura+Umidade+Site'!$B$2:$E$26</definedName>
    <definedName name="tempoCapitais.php?data_2019_12_04" localSheetId="2">'Temperatura+Umidade+Site'!$B$2:$E$26</definedName>
    <definedName name="tempoCapitais.php?data_2019_12_05" localSheetId="2">'Temperatura+Umidade+Site'!$B$2:$E$26</definedName>
    <definedName name="tempoCapitais.php?data_2019_12_06" localSheetId="2">'Temperatura+Umidade+Site'!$B$2:$E$26</definedName>
    <definedName name="tempoCapitais.php?data_2019_12_07" localSheetId="2">'Temperatura+Umidade+Site'!$B$2:$E$26</definedName>
    <definedName name="tempoCapitais.php?data_2019_12_08" localSheetId="2">'Temperatura+Umidade+Site'!$B$2:$E$26</definedName>
    <definedName name="tempoCapitais.php?data_2019_12_09" localSheetId="2">'Temperatura+Umidade+Site'!$B$2:$E$26</definedName>
    <definedName name="tempoCapitais.php?data_2019_12_10" localSheetId="2">'Temperatura+Umidade+Site'!$B$2:$E$26</definedName>
    <definedName name="tempoCapitais.php?data_2019_12_10_1" localSheetId="2">'Temperatura+Umidade+Site'!$B$2:$E$26</definedName>
    <definedName name="tempoCapitais.php?data_2019_12_11" localSheetId="2">'Temperatura+Umidade+Site'!$B$2:$E$26</definedName>
    <definedName name="tempoCapitais.php?data_2019_12_12" localSheetId="2">'Temperatura+Umidade+Site'!$B$2:$E$26</definedName>
    <definedName name="tempoCapitais.php?data_2019_12_12_1" localSheetId="2">'Temperatura+Umidade+Site'!$B$2:$E$26</definedName>
    <definedName name="tempoCapitais.php?data_2019_12_13" localSheetId="2">'Temperatura+Umidade+Site'!$B$2:$E$26</definedName>
    <definedName name="tempoCapitais.php?data_2019_12_14" localSheetId="2">'Temperatura+Umidade+Site'!$B$2:$E$26</definedName>
    <definedName name="tempoCapitais.php?data_2019_12_15" localSheetId="2">'Temperatura+Umidade+Site'!$B$2:$E$26</definedName>
    <definedName name="tempoCapitais.php?data_2019_12_16" localSheetId="2">'Temperatura+Umidade+Site'!$B$2:$E$26</definedName>
    <definedName name="tempoCapitais.php?data_2019_12_17" localSheetId="2">'Temperatura+Umidade+Site'!$B$2:$E$26</definedName>
    <definedName name="tempoCapitais.php?data_2019_12_18" localSheetId="2">'Temperatura+Umidade+Site'!$B$2:$E$26</definedName>
    <definedName name="tempoCapitais.php?data_2019_12_19" localSheetId="2">'Temperatura+Umidade+Site'!$B$2:$E$26</definedName>
    <definedName name="tempoCapitais.php?data_2019_12_20" localSheetId="2">'Temperatura+Umidade+Site'!$B$2:$E$26</definedName>
    <definedName name="tempoCapitais.php?data_2019_12_30" localSheetId="2">'Temperatura+Umidade+Site'!$B$2:$E$26</definedName>
    <definedName name="tempoCapitais.php?data_2019_12_31" localSheetId="2">'Temperatura+Umidade+Site'!$B$2:$E$26</definedName>
    <definedName name="tempoCapitais.php?data_2020_01_01" localSheetId="2">'Temperatura+Umidade+Site'!$B$2:$E$26</definedName>
    <definedName name="tempoCapitais.php?data_2020_01_02" localSheetId="2">'Temperatura+Umidade+Site'!$B$2:$E$26</definedName>
    <definedName name="tempoCapitais.php?data_2020_01_03" localSheetId="2">'Temperatura+Umidade+Site'!$B$2:$E$26</definedName>
    <definedName name="tempoCapitais.php?data_2020_01_04" localSheetId="2">'Temperatura+Umidade+Site'!$B$2:$E$26</definedName>
    <definedName name="tempoCapitais.php?data_2020_01_05" localSheetId="2">'Temperatura+Umidade+Site'!$B$2:$E$26</definedName>
    <definedName name="tempoCapitais.php?data_2020_01_06" localSheetId="2">'Temperatura+Umidade+Site'!$B$2:$E$26</definedName>
    <definedName name="tempoCapitais.php?data_2020_01_07" localSheetId="2">'Temperatura+Umidade+Site'!$B$2:$E$26</definedName>
    <definedName name="tempoCapitais.php?data_2020_01_08" localSheetId="2">'Temperatura+Umidade+Site'!$B$2:$E$26</definedName>
    <definedName name="tempoCapitais.php?data_2020_01_09" localSheetId="2">'Temperatura+Umidade+Site'!$B$2:$E$26</definedName>
    <definedName name="tempoCapitais.php?data_2020_01_12" localSheetId="2">'Temperatura+Umidade+Site'!$B$2:$E$26</definedName>
    <definedName name="tempoCapitais.php?data_2020_01_13" localSheetId="2">'Temperatura+Umidade+Site'!$B$2:$E$26</definedName>
    <definedName name="tempoCapitais.php?data_2020_01_14" localSheetId="2">'Temperatura+Umidade+Site'!$B$2:$E$26</definedName>
    <definedName name="tempoCapitais.php?data_2020_01_15" localSheetId="2">'Temperatura+Umidade+Site'!$B$2:$E$26</definedName>
    <definedName name="tempoCapitais.php?data_2020_01_16" localSheetId="2">'Temperatura+Umidade+Site'!$B$2:$E$26</definedName>
    <definedName name="tempoCapitais.php?data_2020_01_17" localSheetId="2">'Temperatura+Umidade+Site'!$B$2:$E$26</definedName>
    <definedName name="tempoCapitais.php?data_2020_01_18" localSheetId="2">'Temperatura+Umidade+Site'!$B$2:$E$26</definedName>
    <definedName name="tempoCapitais.php?data_2020_01_19" localSheetId="2">'Temperatura+Umidade+Site'!$B$2:$E$26</definedName>
    <definedName name="tempoCapitais.php?data_2020_01_20" localSheetId="2">'Temperatura+Umidade+Site'!$B$2:$E$26</definedName>
    <definedName name="tempoCapitais.php?data_2020_01_21" localSheetId="2">'Temperatura+Umidade+Site'!$B$2:$E$26</definedName>
    <definedName name="tempoCapitais.php?data_2020_01_22" localSheetId="2">'Temperatura+Umidade+Site'!$B$2:$E$26</definedName>
    <definedName name="tempoCapitais.php?data_2020_01_22_1" localSheetId="2">'Temperatura+Umidade+Site'!$B$2:$E$26</definedName>
    <definedName name="tempoCapitais.php?data_2020_01_23" localSheetId="2">'Temperatura+Umidade+Site'!$B$2:$E$26</definedName>
    <definedName name="tempoCapitais.php?data_2020_01_24" localSheetId="2">'Temperatura+Umidade+Site'!$B$2:$E$26</definedName>
    <definedName name="tempoCapitais.php?data_2020_01_25" localSheetId="2">'Temperatura+Umidade+Site'!$B$2:$E$26</definedName>
    <definedName name="tempoCapitais.php?data_2020_01_27" localSheetId="2">'Temperatura+Umidade+Site'!$B$2:$E$26</definedName>
    <definedName name="tempoCapitais.php?data_2020_01_27_1" localSheetId="2">'Temperatura+Umidade+Site'!$B$2:$E$26</definedName>
    <definedName name="tempoCapitais.php?data_2020_01_28" localSheetId="2">'Temperatura+Umidade+Site'!$B$2:$E$26</definedName>
    <definedName name="tempoCapitais.php?data_2020_01_29" localSheetId="2">'Temperatura+Umidade+Site'!$B$2:$E$26</definedName>
    <definedName name="tempoCapitais.php?data_2020_01_30" localSheetId="2">'Temperatura+Umidade+Site'!$B$2:$E$26</definedName>
    <definedName name="tempoCapitais.php?data_2020_01_31" localSheetId="2">'Temperatura+Umidade+Site'!$B$2:$E$26</definedName>
    <definedName name="tempoCapitais.php?data_2020_02_01" localSheetId="2">'Temperatura+Umidade+Site'!$B$2:$E$26</definedName>
    <definedName name="tempoCapitais.php?data_2020_02_01_1" localSheetId="2">'Temperatura+Umidade+Site'!$B$2:$E$26</definedName>
    <definedName name="tempoCapitais.php?data_2020_02_02" localSheetId="2">'Temperatura+Umidade+Site'!$B$2:$E$26</definedName>
    <definedName name="tempoCapitais.php?data_2020_02_03" localSheetId="2">'Temperatura+Umidade+Site'!$B$2:$E$26</definedName>
    <definedName name="tempoCapitais.php?data_2020_02_04" localSheetId="2">'Temperatura+Umidade+Site'!$B$2:$E$26</definedName>
    <definedName name="tempoCapitais.php?data_2020_02_05" localSheetId="2">'Temperatura+Umidade+Site'!$B$2:$E$26</definedName>
    <definedName name="tempoCapitais.php?data_2020_02_06" localSheetId="2">'Temperatura+Umidade+Site'!$B$2:$E$26</definedName>
    <definedName name="tempoCapitais.php?data_2020_02_06_1" localSheetId="2">'Temperatura+Umidade+Site'!$B$2:$E$26</definedName>
    <definedName name="tempoCapitais.php?data_2020_02_07" localSheetId="2">'Temperatura+Umidade+Site'!$B$2:$E$26</definedName>
    <definedName name="tempoCapitais.php?data_2020_02_07_1" localSheetId="2">'Temperatura+Umidade+Site'!$B$2:$E$26</definedName>
    <definedName name="tempoCapitais.php?data_2020_02_08" localSheetId="2">'Temperatura+Umidade+Site'!$B$2:$E$26</definedName>
    <definedName name="tempoCapitais.php?data_2020_02_09" localSheetId="2">'Temperatura+Umidade+Site'!$B$2:$E$26</definedName>
    <definedName name="tempoCapitais.php?data_2020_02_10" localSheetId="2">'Temperatura+Umidade+Site'!$B$2:$E$26</definedName>
    <definedName name="tempoCapitais.php?data_2020_02_11" localSheetId="2">'Temperatura+Umidade+Site'!$B$2:$E$26</definedName>
    <definedName name="tempoCapitais.php?data_2020_02_12" localSheetId="2">'Temperatura+Umidade+Site'!$B$2:$E$26</definedName>
    <definedName name="tempoCapitais.php?data_2020_02_13" localSheetId="2">'Temperatura+Umidade+Site'!$B$2:$E$26</definedName>
    <definedName name="tempoCapitais.php?data_2020_02_14" localSheetId="2">'Temperatura+Umidade+Site'!$B$2:$E$26</definedName>
    <definedName name="tempoCapitais.php?data_2020_02_15" localSheetId="2">'Temperatura+Umidade+Site'!$B$2:$E$26</definedName>
    <definedName name="tempoCapitais.php?data_2020_02_16" localSheetId="2">'Temperatura+Umidade+Site'!$B$2:$E$26</definedName>
    <definedName name="tempoCapitais.php?data_2020_02_16_1" localSheetId="2">'Temperatura+Umidade+Site'!$B$2:$E$26</definedName>
    <definedName name="tempoCapitais.php?data_2020_02_17" localSheetId="2">'Temperatura+Umidade+Site'!$B$2:$E$26</definedName>
    <definedName name="tempoCapitais.php?data_2020_02_18" localSheetId="2">'Temperatura+Umidade+Site'!$B$2:$E$26</definedName>
    <definedName name="tempoCapitais.php?data_2020_02_19" localSheetId="2">'Temperatura+Umidade+Site'!$B$2:$E$26</definedName>
    <definedName name="tempoCapitais.php?data_2020_02_20" localSheetId="2">'Temperatura+Umidade+Site'!$B$2:$E$26</definedName>
    <definedName name="tempoCapitais.php?data_2020_02_21" localSheetId="2">'Temperatura+Umidade+Site'!$B$2:$E$26</definedName>
    <definedName name="tempoCapitais.php?data_2020_02_22" localSheetId="2">'Temperatura+Umidade+Site'!$B$2:$E$26</definedName>
    <definedName name="tempoCapitais.php?data_2020_02_23" localSheetId="2">'Temperatura+Umidade+Site'!$B$2:$E$26</definedName>
    <definedName name="tempoCapitais.php?data_2020_02_24" localSheetId="2">'Temperatura+Umidade+Site'!$B$2:$E$26</definedName>
    <definedName name="tempoCapitais.php?data_2020_02_25" localSheetId="2">'Temperatura+Umidade+Site'!$B$2:$E$26</definedName>
    <definedName name="tempoCapitais.php?data_2020_02_26" localSheetId="2">'Temperatura+Umidade+Site'!$B$2:$E$26</definedName>
    <definedName name="tempoCapitais.php?data_2020_02_27" localSheetId="2">'Temperatura+Umidade+Site'!$B$2:$E$26</definedName>
    <definedName name="tempoCapitais.php?data_2020_02_28" localSheetId="2">'Temperatura+Umidade+Site'!$B$2:$E$26</definedName>
    <definedName name="tempoCapitais.php?data_2020_02_29" localSheetId="2">'Temperatura+Umidade+Site'!$B$2:$E$26</definedName>
    <definedName name="tempoCapitais.php?data_2020_03_01" localSheetId="2">'Temperatura+Umidade+Site'!$B$2:$E$26</definedName>
    <definedName name="tempoCapitais.php?data_2020_03_02" localSheetId="2">'Temperatura+Umidade+Site'!$B$2:$E$26</definedName>
    <definedName name="tempoCapitais.php?data_2020_03_03" localSheetId="2">'Temperatura+Umidade+Site'!$B$2:$E$26</definedName>
    <definedName name="tempoCapitais.php?data_2020_03_04" localSheetId="2">'Temperatura+Umidade+Site'!$B$2:$E$26</definedName>
    <definedName name="tempoCapitais.php?data_2020_03_05" localSheetId="2">'Temperatura+Umidade+Site'!$B$2:$E$26</definedName>
    <definedName name="tempoCapitais.php?data_2020_03_06" localSheetId="2">'Temperatura+Umidade+Site'!$B$2:$E$26</definedName>
    <definedName name="tempoCapitais.php?data_2020_03_06_1" localSheetId="2">'Temperatura+Umidade+Site'!$B$2:$E$26</definedName>
    <definedName name="tempoCapitais.php?data_2020_03_07" localSheetId="2">'Temperatura+Umidade+Site'!$B$2:$E$26</definedName>
    <definedName name="tempoCapitais.php?data_2020_03_08" localSheetId="2">'Temperatura+Umidade+Site'!$B$2:$E$26</definedName>
    <definedName name="tempoCapitais.php?data_2020_03_09" localSheetId="2">'Temperatura+Umidade+Site'!$B$2:$E$26</definedName>
    <definedName name="tempoCapitais.php?data_2020_03_10" localSheetId="2">'Temperatura+Umidade+Site'!$B$2:$E$26</definedName>
    <definedName name="tempoCapitais.php?data_2020_03_11" localSheetId="2">'Temperatura+Umidade+Site'!$B$2:$E$26</definedName>
    <definedName name="tempoCapitais.php?data_2020_03_12" localSheetId="2">'Temperatura+Umidade+Site'!$B$2:$E$26</definedName>
    <definedName name="tempoCapitais.php?data_2020_03_13" localSheetId="2">'Temperatura+Umidade+Site'!$B$2:$E$26</definedName>
    <definedName name="tempoCapitais.php?data_2020_03_13_1" localSheetId="2">'Temperatura+Umidade+Site'!$B$2:$E$26</definedName>
    <definedName name="tempoCapitais.php?data_2020_03_14" localSheetId="2">'Temperatura+Umidade+Site'!$B$2:$E$26</definedName>
    <definedName name="tempoCapitais.php?data_2020_03_14_1" localSheetId="2">'Temperatura+Umidade+Site'!$B$2:$E$26</definedName>
    <definedName name="tempoCapitais.php?data_2020_03_15" localSheetId="2">'Temperatura+Umidade+Site'!$B$2:$E$26</definedName>
    <definedName name="tempoCapitais.php?data_2020_03_15_1" localSheetId="2">'Temperatura+Umidade+Site'!$B$2:$E$26</definedName>
    <definedName name="tempoCapitais.php?data_2020_03_16" localSheetId="2">'Temperatura+Umidade+Site'!$B$2:$E$26</definedName>
    <definedName name="tempoCapitais.php?data_2020_03_17" localSheetId="2">'Temperatura+Umidade+Site'!$B$2:$E$26</definedName>
    <definedName name="tempoCapitais.php?data_2020_03_18" localSheetId="2">'Temperatura+Umidade+Site'!$B$2:$E$26</definedName>
    <definedName name="tempoCapitais.php?data_2020_03_19" localSheetId="2">'Temperatura+Umidade+Site'!$B$2:$E$26</definedName>
    <definedName name="tempoCapitais.php?data_2020_03_20" localSheetId="2">'Temperatura+Umidade+Site'!$B$2:$E$26</definedName>
    <definedName name="tempoCapitais.php?data_2020_03_21" localSheetId="2">'Temperatura+Umidade+Site'!$B$2:$E$26</definedName>
    <definedName name="tempoCapitais.php?data_2020_03_23" localSheetId="2">'Temperatura+Umidade+Site'!$B$2:$E$26</definedName>
    <definedName name="tempoCapitais.php?data_2020_03_24" localSheetId="2">'Temperatura+Umidade+Site'!$B$2:$E$26</definedName>
    <definedName name="tempoCapitais.php?data_2020_03_25" localSheetId="2">'Temperatura+Umidade+Site'!$B$2:$E$26</definedName>
    <definedName name="tempoCapitais.php?data_2020_03_26" localSheetId="2">'Temperatura+Umidade+Site'!$B$2:$E$26</definedName>
    <definedName name="tempoCapitais.php?data_2020_03_27" localSheetId="2">'Temperatura+Umidade+Site'!$B$2:$E$26</definedName>
    <definedName name="tempoCapitais.php?data_2020_03_28" localSheetId="2">'Temperatura+Umidade+Site'!$B$2:$E$26</definedName>
    <definedName name="tempoCapitais.php?data_2020_03_29" localSheetId="2">'Temperatura+Umidade+Site'!$B$2:$E$26</definedName>
    <definedName name="tempoCapitais.php?data_2020_03_30" localSheetId="2">'Temperatura+Umidade+Site'!$B$2:$E$26</definedName>
    <definedName name="tempoCapitais.php?data_2020_03_31" localSheetId="2">'Temperatura+Umidade+Site'!$B$2:$E$26</definedName>
    <definedName name="tempoCapitais.php?data_2020_04_01" localSheetId="2">'Temperatura+Umidade+Site'!$B$2:$E$26</definedName>
    <definedName name="tempoCapitais.php?data_2020_04_02" localSheetId="2">'Temperatura+Umidade+Site'!$B$2:$E$26</definedName>
    <definedName name="tempoCapitais.php?data_2020_04_03" localSheetId="2">'Temperatura+Umidade+Site'!$B$2:$E$26</definedName>
    <definedName name="tempoCapitais.php?data_2020_04_04" localSheetId="2">'Temperatura+Umidade+Site'!$B$2:$E$26</definedName>
    <definedName name="tempoCapitais.php?data_2020_04_07" localSheetId="2">'Temperatura+Umidade+Site'!$B$2:$E$26</definedName>
    <definedName name="tempoCapitais.php?data_2020_04_08" localSheetId="2">'Temperatura+Umidade+Site'!$B$2:$E$26</definedName>
    <definedName name="tempoCapitais.php?data_2020_04_09" localSheetId="2">'Temperatura+Umidade+Site'!$B$2:$E$26</definedName>
    <definedName name="tempoCapitais.php?data_2020_04_09_1" localSheetId="2">'Temperatura+Umidade+Site'!$B$2:$E$26</definedName>
    <definedName name="tempoCapitais.php?data_2020_04_10" localSheetId="2">'Temperatura+Umidade+Site'!$B$2:$E$26</definedName>
    <definedName name="tempoCapitais.php?data_2020_04_11" localSheetId="2">'Temperatura+Umidade+Site'!$B$2:$E$26</definedName>
    <definedName name="tempoCapitais.php?data_2020_04_12" localSheetId="2">'Temperatura+Umidade+Site'!$B$2:$E$26</definedName>
    <definedName name="tempoCapitais.php?data_2020_04_12_1" localSheetId="2">'Temperatura+Umidade+Site'!$B$2:$E$26</definedName>
    <definedName name="tempoCapitais.php?data_2020_04_13" localSheetId="2">'Temperatura+Umidade+Site'!$B$2:$E$26</definedName>
    <definedName name="tempoCapitais.php?data_2020_04_14" localSheetId="2">'Temperatura+Umidade+Site'!$B$2:$E$26</definedName>
    <definedName name="tempoCapitais.php?data_2020_04_15" localSheetId="2">'Temperatura+Umidade+Site'!$B$2:$E$26</definedName>
    <definedName name="tempoCapitais.php?data_2020_04_16" localSheetId="2">'Temperatura+Umidade+Site'!$B$2:$E$26</definedName>
    <definedName name="tempoCapitais.php?data_2020_04_17" localSheetId="2">'Temperatura+Umidade+Site'!$B$2:$E$26</definedName>
    <definedName name="tempoCapitais.php?data_2020_04_18" localSheetId="2">'Temperatura+Umidade+Site'!$B$2:$E$26</definedName>
    <definedName name="tempoCapitais.php?data_2020_04_19" localSheetId="2">'Temperatura+Umidade+Site'!$B$2:$E$26</definedName>
    <definedName name="tempoCapitais.php?data_2020_04_20" localSheetId="2">'Temperatura+Umidade+Site'!$B$2:$E$26</definedName>
    <definedName name="tempoCapitais.php?data_2020_04_21" localSheetId="2">'Temperatura+Umidade+Site'!$B$2:$E$26</definedName>
    <definedName name="tempoCapitais.php?data_2020_04_22" localSheetId="2">'Temperatura+Umidade+Site'!$B$2:$E$26</definedName>
    <definedName name="tempoCapitais.php?data_2020_04_23" localSheetId="2">'Temperatura+Umidade+Site'!$B$2:$E$26</definedName>
    <definedName name="tempoCapitais.php?data_2020_04_23_1" localSheetId="2">'Temperatura+Umidade+Site'!$B$2:$E$26</definedName>
    <definedName name="tempoCapitais.php?data_2020_04_24" localSheetId="2">'Temperatura+Umidade+Site'!$B$2:$E$26</definedName>
    <definedName name="tempoCapitais.php?data_2020_04_25" localSheetId="2">'Temperatura+Umidade+Site'!$B$2:$E$26</definedName>
    <definedName name="tempoCapitais.php?data_2020_04_26" localSheetId="2">'Temperatura+Umidade+Site'!$B$2:$E$26</definedName>
    <definedName name="tempoCapitais.php?data_2020_04_27" localSheetId="2">'Temperatura+Umidade+Site'!$B$2:$E$26</definedName>
    <definedName name="tempoCapitais.php?data_2020_04_28" localSheetId="2">'Temperatura+Umidade+Site'!$B$2:$E$26</definedName>
    <definedName name="tempoCapitais.php?data_2020_04_29" localSheetId="2">'Temperatura+Umidade+Site'!$B$2:$E$26</definedName>
    <definedName name="tempoCapitais.php?data_2020_04_29_1" localSheetId="2">'Temperatura+Umidade+Site'!$B$2:$E$26</definedName>
    <definedName name="tempoCapitais.php?data_2020_04_29_2" localSheetId="2">'Temperatura+Umidade+Site'!$B$2:$E$26</definedName>
    <definedName name="tempoCapitais.php?data_2020_04_30" localSheetId="2">'Temperatura+Umidade+Site'!$B$2:$E$26</definedName>
    <definedName name="tempoCapitais.php?data_2020_04_30_1" localSheetId="2">'Temperatura+Umidade+Site'!$B$2:$E$26</definedName>
    <definedName name="tempoCapitais.php?data_2020_05_01" localSheetId="2">'Temperatura+Umidade+Site'!$B$2:$E$26</definedName>
    <definedName name="tempoCapitais.php?data_2020_05_01_1" localSheetId="2">'Temperatura+Umidade+Site'!$B$2:$E$26</definedName>
    <definedName name="tempoCapitais.php?data_2020_05_02" localSheetId="2">'Temperatura+Umidade+Site'!$B$2:$E$26</definedName>
    <definedName name="tempoCapitais.php?data_2020_05_02_1" localSheetId="2">'Temperatura+Umidade+Site'!$B$2:$E$26</definedName>
    <definedName name="tempoCapitais.php?data_2020_05_03" localSheetId="2">'Temperatura+Umidade+Site'!$B$2:$E$26</definedName>
    <definedName name="tempoCapitais.php?data_2020_05_04" localSheetId="2">'Temperatura+Umidade+Site'!$B$2:$E$26</definedName>
    <definedName name="tempoCapitais.php?data_2020_05_05" localSheetId="2">'Temperatura+Umidade+Site'!$B$2:$E$26</definedName>
    <definedName name="tempoCapitais.php?data_2020_05_05_1" localSheetId="2">'Temperatura+Umidade+Site'!$B$2:$E$26</definedName>
    <definedName name="tempoCapitais.php?data_2020_05_06" localSheetId="2">'Temperatura+Umidade+Site'!$B$2:$E$26</definedName>
    <definedName name="tempoCapitais.php?data_2020_05_07" localSheetId="2">'Temperatura+Umidade+Site'!$B$2:$E$26</definedName>
    <definedName name="tempoCapitais.php?data_2020_05_08" localSheetId="2">'Temperatura+Umidade+Site'!$B$2:$E$26</definedName>
    <definedName name="tempoCapitais.php?data_2020_05_09" localSheetId="2">'Temperatura+Umidade+Site'!$B$2:$E$26</definedName>
    <definedName name="tempoCapitais.php?data_2020_05_09_1" localSheetId="2">'Temperatura+Umidade+Site'!$B$2:$E$26</definedName>
    <definedName name="tempoCapitais.php?data_2020_05_11" localSheetId="2">'Temperatura+Umidade+Site'!$B$2:$E$26</definedName>
    <definedName name="tempoCapitais.php?data_2020_05_12" localSheetId="2">'Temperatura+Umidade+Site'!$B$2:$E$26</definedName>
    <definedName name="tempoCapitais.php?data_2020_05_13" localSheetId="2">'Temperatura+Umidade+Site'!$B$2:$E$26</definedName>
    <definedName name="tempoCapitais.php?data_2020_05_14" localSheetId="2">'Temperatura+Umidade+Site'!$B$2:$E$26</definedName>
    <definedName name="tempoCapitais.php?data_2020_05_14_1" localSheetId="2">'Temperatura+Umidade+Site'!$B$2:$E$26</definedName>
    <definedName name="tempoCapitais.php?data_2020_05_15" localSheetId="2">'Temperatura+Umidade+Site'!$B$2:$E$26</definedName>
    <definedName name="tempoCapitais.php?data_2020_05_16" localSheetId="2">'Temperatura+Umidade+Site'!$B$2:$E$26</definedName>
    <definedName name="tempoCapitais.php?data_2020_05_17" localSheetId="2">'Temperatura+Umidade+Site'!$B$2:$E$26</definedName>
    <definedName name="tempoCapitais.php?data_2020_05_17_1" localSheetId="2">'Temperatura+Umidade+Site'!$B$2:$E$26</definedName>
    <definedName name="tempoCapitais.php?data_2020_05_18" localSheetId="2">'Temperatura+Umidade+Site'!$B$2:$E$26</definedName>
    <definedName name="tempoCapitais.php?data_2020_05_19" localSheetId="2">'Temperatura+Umidade+Site'!$B$2:$E$26</definedName>
    <definedName name="tempoCapitais.php?data_2020_05_20" localSheetId="2">'Temperatura+Umidade+Site'!$B$2:$E$26</definedName>
    <definedName name="tempoCapitais.php?data_2020_05_21" localSheetId="2">'Temperatura+Umidade+Site'!$B$2:$E$26</definedName>
    <definedName name="tempoCapitais.php?data_2020_05_21_1" localSheetId="2">'Temperatura+Umidade+Site'!$B$2:$E$26</definedName>
    <definedName name="tempoCapitais.php?data_2020_05_22" localSheetId="2">'Temperatura+Umidade+Site'!$B$2:$E$26</definedName>
    <definedName name="tempoCapitais.php?data_2020_05_23" localSheetId="2">'Temperatura+Umidade+Site'!$B$2:$E$26</definedName>
    <definedName name="tempoCapitais.php?data_2020_05_23_1" localSheetId="2">'Temperatura+Umidade+Site'!$B$2:$E$26</definedName>
    <definedName name="tempoCapitais.php?data_2020_05_24" localSheetId="2">'Temperatura+Umidade+Site'!$B$2:$E$26</definedName>
    <definedName name="tempoCapitais.php?data_2020_05_25" localSheetId="2">'Temperatura+Umidade+Site'!$B$2:$E$26</definedName>
    <definedName name="tempoCapitais.php?data_2020_05_25_1" localSheetId="2">'Temperatura+Umidade+Site'!$B$2:$E$26</definedName>
    <definedName name="tempoCapitais.php?data_2020_05_26" localSheetId="2">'Temperatura+Umidade+Site'!$B$2:$E$26</definedName>
    <definedName name="tempoCapitais.php?data_2020_05_26_1" localSheetId="2">'Temperatura+Umidade+Site'!$B$2:$E$26</definedName>
    <definedName name="tempoCapitais.php?data_2020_05_27" localSheetId="2">'Temperatura+Umidade+Site'!$B$2:$E$26</definedName>
    <definedName name="tempoCapitais.php?data_2020_05_28" localSheetId="2">'Temperatura+Umidade+Site'!$B$2:$E$26</definedName>
    <definedName name="tempoCapitais.php?data_2020_05_29" localSheetId="2">'Temperatura+Umidade+Site'!$B$2:$E$26</definedName>
    <definedName name="tempoCapitais.php?data_2020_05_30" localSheetId="2">'Temperatura+Umidade+Site'!$B$2:$E$26</definedName>
    <definedName name="tempoCapitais.php?data_2020_05_30_1" localSheetId="2">'Temperatura+Umidade+Site'!$B$2:$E$26</definedName>
    <definedName name="tempoCapitais.php?data_2020_06_05" localSheetId="2">'Temperatura+Umidade+Site'!$B$2:$E$26</definedName>
    <definedName name="tempoCapitais.php?data_2020_06_05_1" localSheetId="2">'Temperatura+Umidade+Site'!$B$2:$E$26</definedName>
    <definedName name="tempoCapitais.php?data_2020_06_05_2" localSheetId="2">'Temperatura+Umidade+Site'!$B$2:$E$26</definedName>
    <definedName name="tempoCapitais.php?data_2020_06_06" localSheetId="2">'Temperatura+Umidade+Site'!$B$2:$E$26</definedName>
    <definedName name="tempoCapitais.php?data_2020_06_06_1" localSheetId="2">'Temperatura+Umidade+Site'!$B$2:$E$26</definedName>
    <definedName name="tempoCapitais.php?data_2020_06_07" localSheetId="2">'Temperatura+Umidade+Site'!$B$2:$E$26</definedName>
    <definedName name="tempoCapitais.php?data_2020_06_07_1" localSheetId="2">'Temperatura+Umidade+Site'!$B$2:$E$26</definedName>
    <definedName name="tempoCapitais.php?data_2020_06_14" localSheetId="2">'Temperatura+Umidade+Site'!$B$2:$E$26</definedName>
    <definedName name="tempoCapitais.php?data_2020_06_14_1" localSheetId="2">'Temperatura+Umidade+Site'!$B$2:$E$26</definedName>
    <definedName name="tempoCapitais.php?data_2020_06_26" localSheetId="2">'Temperatura+Umidade+Site'!$B$2:$E$26</definedName>
    <definedName name="tempoCapitais.php?data_2020_06_27" localSheetId="2">'Temperatura+Umidade+Site'!$B$2:$E$26</definedName>
    <definedName name="tempoCapitais.php?data_2020_06_27_1" localSheetId="2">'Temperatura+Umidade+Site'!$B$2:$E$26</definedName>
    <definedName name="tempoCapitais.php?data_2020_06_28" localSheetId="2">'Temperatura+Umidade+Site'!$B$2:$E$26</definedName>
    <definedName name="tempoCapitais.php?data_2020_06_28_1" localSheetId="2">'Temperatura+Umidade+Site'!$B$2:$E$26</definedName>
    <definedName name="tempoCapitais.php?data_2020_06_29" localSheetId="2">'Temperatura+Umidade+Site'!$B$2:$E$26</definedName>
    <definedName name="tempoCapitais.php?data_2020_06_29_1" localSheetId="2">'Temperatura+Umidade+Site'!$B$2:$E$26</definedName>
    <definedName name="tempoCapitais.php?data_2020_06_30" localSheetId="2">'Temperatura+Umidade+Site'!$B$2:$E$26</definedName>
    <definedName name="tempoCapitais.php?data_2020_07_01" localSheetId="2">'Temperatura+Umidade+Site'!$B$2:$E$26</definedName>
    <definedName name="tempoCapitais.php?data_2020_07_02" localSheetId="2">'Temperatura+Umidade+Site'!$B$2:$E$26</definedName>
    <definedName name="tempoCapitais.php?data_2020_07_03" localSheetId="2">'Temperatura+Umidade+Site'!$B$2:$E$26</definedName>
    <definedName name="tempoCapitais.php?data_2020_07_03_1" localSheetId="2">'Temperatura+Umidade+Site'!$B$2:$E$26</definedName>
    <definedName name="tempoCapitais.php?data_2020_07_03_2" localSheetId="2">'Temperatura+Umidade+Site'!$B$2:$E$26</definedName>
    <definedName name="tempoCapitais.php?data_2020_07_04" localSheetId="2">'Temperatura+Umidade+Site'!$B$2:$E$26</definedName>
    <definedName name="tempoCapitais.php?data_2020_07_07" localSheetId="2">'Temperatura+Umidade+Site'!$B$2:$E$26</definedName>
    <definedName name="tempoCapitais.php?data_2020_07_08" localSheetId="2">'Temperatura+Umidade+Site'!$B$2:$E$26</definedName>
    <definedName name="tempoCapitais.php?data_2020_07_09" localSheetId="2">'Temperatura+Umidade+Site'!$B$2:$E$26</definedName>
    <definedName name="tempoCapitais.php?data_2020_07_12" localSheetId="2">'Temperatura+Umidade+Site'!$B$2:$E$26</definedName>
    <definedName name="tempoCapitais.php?data_2020_07_12_1" localSheetId="2">'Temperatura+Umidade+Site'!$B$2:$E$26</definedName>
    <definedName name="tempoCapitais.php?data_2020_07_13" localSheetId="2">'Temperatura+Umidade+Site'!$B$2:$E$26</definedName>
    <definedName name="tempoCapitais.php?data_2020_07_13_1" localSheetId="2">'Temperatura+Umidade+Site'!$B$2:$E$26</definedName>
    <definedName name="tempoCapitais.php?data_2020_07_14" localSheetId="2">'Temperatura+Umidade+Site'!$B$2:$E$26</definedName>
    <definedName name="tempoCapitais.php?data_2020_07_15" localSheetId="2">'Temperatura+Umidade+Site'!$B$2:$E$26</definedName>
    <definedName name="tempoCapitais.php?data_2020_07_16" localSheetId="2">'Temperatura+Umidade+Site'!$B$2:$E$26</definedName>
    <definedName name="tempoCapitais.php?data_2020_07_17" localSheetId="2">'Temperatura+Umidade+Site'!$B$2:$E$26</definedName>
    <definedName name="tempoCapitais.php?data_2020_07_18" localSheetId="2">'Temperatura+Umidade+Site'!$B$2:$E$26</definedName>
    <definedName name="tempoCapitais.php?data_2020_07_19" localSheetId="2">'Temperatura+Umidade+Site'!$B$2:$E$26</definedName>
    <definedName name="tempoCapitais.php?data_2020_07_20" localSheetId="2">'Temperatura+Umidade+Site'!$B$2:$E$26</definedName>
    <definedName name="tempoCapitais.php?data_2020_07_21" localSheetId="2">'Temperatura+Umidade+Site'!$B$2:$E$26</definedName>
    <definedName name="tempoCapitais.php?data_2020_07_22" localSheetId="2">'Temperatura+Umidade+Site'!$B$2:$E$26</definedName>
    <definedName name="tempoCapitais.php?data_2020_07_23" localSheetId="2">'Temperatura+Umidade+Site'!$B$2:$E$26</definedName>
    <definedName name="tempoCapitais.php?data_2020_07_27" localSheetId="2">'Temperatura+Umidade+Site'!$B$2:$E$26</definedName>
    <definedName name="tempoCapitais.php?data_2020_07_28" localSheetId="2">'Temperatura+Umidade+Site'!$B$2:$E$26</definedName>
    <definedName name="tempoCapitais.php?data_2020_07_29" localSheetId="2">'Temperatura+Umidade+Site'!$B$2:$E$26</definedName>
    <definedName name="tempoCapitais.php?data_2020_07_30" localSheetId="2">'Temperatura+Umidade+Site'!$B$2:$E$26</definedName>
    <definedName name="tempoCapitais.php?data_2020_07_30_1" localSheetId="2">'Temperatura+Umidade+Site'!$B$2:$E$26</definedName>
    <definedName name="tempoCapitais.php?data_2020_07_31" localSheetId="2">'Temperatura+Umidade+Site'!$B$2:$E$26</definedName>
    <definedName name="tempoCapitais.php?data_2020_08_01" localSheetId="2">'Temperatura+Umidade+Site'!$B$2:$E$26</definedName>
    <definedName name="tempoCapitais.php?data_2020_08_01_1" localSheetId="2">'Temperatura+Umidade+Site'!$B$2:$E$26</definedName>
    <definedName name="tempoCapitais.php?data_2020_08_02" localSheetId="2">'Temperatura+Umidade+Site'!$B$2:$E$26</definedName>
    <definedName name="tempoCapitais.php?data_2020_08_02_1" localSheetId="2">'Temperatura+Umidade+Site'!$B$2:$E$26</definedName>
    <definedName name="tempoCapitais.php?data_2020_08_03" localSheetId="2">'Temperatura+Umidade+Site'!$B$2:$E$26</definedName>
    <definedName name="tempoCapitais.php?data_2020_08_04" localSheetId="2">'Temperatura+Umidade+Site'!$B$2:$E$26</definedName>
    <definedName name="tempoCapitais.php?data_2020_08_05" localSheetId="2">'Temperatura+Umidade+Site'!#REF!</definedName>
    <definedName name="tempoCapitais.php?data_2020_08_06" localSheetId="2">'Temperatura+Umidade+Site'!#REF!</definedName>
    <definedName name="tempoCapitais.php?data_2020_08_07" localSheetId="2">'Temperatura+Umidade+Site'!#REF!</definedName>
    <definedName name="tempoCapitais.php?data_2020_08_08" localSheetId="2">'Temperatura+Umidade+Site'!#REF!</definedName>
    <definedName name="tempoCapitais.php?data_2020_08_09" localSheetId="2">'Temperatura+Umidade+Site'!#REF!</definedName>
    <definedName name="tempoCapitais.php?data_2020_08_10" localSheetId="2">'Temperatura+Umidade+Site'!#REF!</definedName>
    <definedName name="tempoCapitais.php?data_2020_08_11" localSheetId="2">'Temperatura+Umidade+Site'!#REF!</definedName>
    <definedName name="tempoCapitais.php?data_2020_08_11_1" localSheetId="2">'Temperatura+Umidade+Site'!#REF!</definedName>
    <definedName name="tempoCapitais.php?data_2020_08_12" localSheetId="2">'Temperatura+Umidade+Site'!#REF!</definedName>
    <definedName name="tempoCapitais.php?data_2020_08_13" localSheetId="2">'Temperatura+Umidade+Site'!#REF!</definedName>
    <definedName name="tempoCapitais.php?data_2020_08_14" localSheetId="2">'Temperatura+Umidade+Site'!#REF!</definedName>
    <definedName name="tempoCapitais.php?data_2020_08_15" localSheetId="2">'Temperatura+Umidade+Site'!#REF!</definedName>
    <definedName name="tempoCapitais.php?data_2020_08_16" localSheetId="2">'Temperatura+Umidade+Site'!#REF!</definedName>
    <definedName name="tempoCapitais.php?data_2020_08_17" localSheetId="2">'Temperatura+Umidade+Site'!#REF!</definedName>
    <definedName name="tempoCapitais.php?data_2020_08_18" localSheetId="2">'Temperatura+Umidade+Site'!#REF!</definedName>
    <definedName name="tempoCapitais.php?data_2020_08_19" localSheetId="2">'Temperatura+Umidade+Site'!#REF!</definedName>
    <definedName name="tempoCapitais.php?data_2020_08_20" localSheetId="2">'Temperatura+Umidade+Site'!#REF!</definedName>
    <definedName name="tempoCapitais.php?data_2020_08_21" localSheetId="2">'Temperatura+Umidade+Site'!#REF!</definedName>
    <definedName name="tempoCapitais.php?data_2020_08_30" localSheetId="2">'Temperatura+Umidade+Site'!#REF!</definedName>
    <definedName name="tempoCapitais.php?data_2020_09_01" localSheetId="2">'Temperatura+Umidade+Site'!$A$2:$A$15</definedName>
    <definedName name="tempoCapitais.php?data_2020_09_02" localSheetId="2">'Temperatura+Umidade+Site'!$A$2:$A$15</definedName>
    <definedName name="tempoCapitais.php?data_2020_09_03" localSheetId="2">'Temperatura+Umidade+Site'!$A$2:$A$15</definedName>
    <definedName name="tempoCapitais.php?data_2020_09_07" localSheetId="2">'Temperatura+Umidade+Site'!$A$2:$A$15</definedName>
    <definedName name="tempoCapitais.php?data_2020_09_08" localSheetId="2">'Temperatura+Umidade+Site'!#REF!</definedName>
    <definedName name="tempoCapitais.php?data_2020_09_10" localSheetId="2">'Temperatura+Umidade+Site'!#REF!</definedName>
    <definedName name="tempoCapitais.php?data_2020_09_11" localSheetId="2">'Temperatura+Umidade+Site'!#REF!</definedName>
    <definedName name="tempoCapitais.php?data_2020_09_17" localSheetId="2">'Temperatura+Umidade+Site'!#REF!</definedName>
    <definedName name="tempoCapitais.php?data_2020_09_21" localSheetId="2">'Temperatura+Umidade+Site'!#REF!</definedName>
    <definedName name="tempoCapitais.php?data_2020_09_22" localSheetId="2">'Temperatura+Umidade+Site'!#REF!</definedName>
    <definedName name="tempoCapitais.php?data_2020_09_23" localSheetId="2">'Temperatura+Umidade+Site'!#REF!</definedName>
    <definedName name="tempoCapitais.php?data_2020_09_24" localSheetId="2">'Temperatura+Umidade+Site'!#REF!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30" i="4" l="1"/>
  <c r="D30" i="4"/>
  <c r="C30" i="4"/>
  <c r="O29" i="4"/>
  <c r="D29" i="4"/>
  <c r="C29" i="4"/>
  <c r="O28" i="4"/>
  <c r="P28" i="4" s="1"/>
  <c r="D28" i="4"/>
  <c r="F28" i="4" s="1"/>
  <c r="C28" i="4"/>
  <c r="O27" i="4"/>
  <c r="D27" i="4"/>
  <c r="C27" i="4"/>
  <c r="E27" i="4" s="1"/>
  <c r="O26" i="4"/>
  <c r="P26" i="4" s="1"/>
  <c r="D26" i="4"/>
  <c r="F26" i="4" s="1"/>
  <c r="C26" i="4"/>
  <c r="E26" i="4" s="1"/>
  <c r="Q20" i="4"/>
  <c r="P20" i="4"/>
  <c r="O20" i="4"/>
  <c r="Q19" i="4"/>
  <c r="P19" i="4"/>
  <c r="O19" i="4"/>
  <c r="H19" i="4"/>
  <c r="G19" i="4"/>
  <c r="M19" i="4" s="1"/>
  <c r="F19" i="4"/>
  <c r="E19" i="4"/>
  <c r="D19" i="4"/>
  <c r="C19" i="4"/>
  <c r="Q18" i="4"/>
  <c r="P18" i="4"/>
  <c r="O18" i="4"/>
  <c r="H18" i="4"/>
  <c r="N18" i="4" s="1"/>
  <c r="G18" i="4"/>
  <c r="F18" i="4"/>
  <c r="E18" i="4"/>
  <c r="D18" i="4"/>
  <c r="C18" i="4"/>
  <c r="Q17" i="4"/>
  <c r="T17" i="4" s="1"/>
  <c r="P17" i="4"/>
  <c r="S17" i="4" s="1"/>
  <c r="O17" i="4"/>
  <c r="R17" i="4" s="1"/>
  <c r="H17" i="4"/>
  <c r="G17" i="4"/>
  <c r="F17" i="4"/>
  <c r="L17" i="4" s="1"/>
  <c r="E17" i="4"/>
  <c r="D17" i="4"/>
  <c r="J17" i="4" s="1"/>
  <c r="C17" i="4"/>
  <c r="Q16" i="4"/>
  <c r="T16" i="4" s="1"/>
  <c r="P16" i="4"/>
  <c r="S16" i="4" s="1"/>
  <c r="O16" i="4"/>
  <c r="R16" i="4" s="1"/>
  <c r="H16" i="4"/>
  <c r="G16" i="4"/>
  <c r="M16" i="4" s="1"/>
  <c r="F16" i="4"/>
  <c r="E16" i="4"/>
  <c r="K16" i="4" s="1"/>
  <c r="D16" i="4"/>
  <c r="J16" i="4" s="1"/>
  <c r="C16" i="4"/>
  <c r="I16" i="4" s="1"/>
  <c r="Q15" i="4"/>
  <c r="T15" i="4" s="1"/>
  <c r="P15" i="4"/>
  <c r="S15" i="4" s="1"/>
  <c r="O15" i="4"/>
  <c r="R15" i="4" s="1"/>
  <c r="H15" i="4"/>
  <c r="N15" i="4" s="1"/>
  <c r="G15" i="4"/>
  <c r="M15" i="4" s="1"/>
  <c r="F15" i="4"/>
  <c r="L15" i="4" s="1"/>
  <c r="E15" i="4"/>
  <c r="K15" i="4" s="1"/>
  <c r="D15" i="4"/>
  <c r="J15" i="4" s="1"/>
  <c r="C15" i="4"/>
  <c r="I15" i="4" s="1"/>
  <c r="S9" i="4"/>
  <c r="R9" i="4"/>
  <c r="W10" i="4" s="1"/>
  <c r="P9" i="4"/>
  <c r="O9" i="4"/>
  <c r="S8" i="4"/>
  <c r="R8" i="4"/>
  <c r="P8" i="4"/>
  <c r="O8" i="4"/>
  <c r="T8" i="4" s="1"/>
  <c r="H8" i="4"/>
  <c r="G8" i="4"/>
  <c r="M8" i="4" s="1"/>
  <c r="F8" i="4"/>
  <c r="E8" i="4"/>
  <c r="D8" i="4"/>
  <c r="C8" i="4"/>
  <c r="S7" i="4"/>
  <c r="R7" i="4"/>
  <c r="P7" i="4"/>
  <c r="O7" i="4"/>
  <c r="H7" i="4"/>
  <c r="G7" i="4"/>
  <c r="F7" i="4"/>
  <c r="E7" i="4"/>
  <c r="D7" i="4"/>
  <c r="J7" i="4" s="1"/>
  <c r="C7" i="4"/>
  <c r="S6" i="4"/>
  <c r="X6" i="4" s="1"/>
  <c r="R6" i="4"/>
  <c r="W6" i="4" s="1"/>
  <c r="P6" i="4"/>
  <c r="U6" i="4" s="1"/>
  <c r="O6" i="4"/>
  <c r="T6" i="4" s="1"/>
  <c r="H6" i="4"/>
  <c r="N6" i="4" s="1"/>
  <c r="G6" i="4"/>
  <c r="M6" i="4" s="1"/>
  <c r="F6" i="4"/>
  <c r="L6" i="4" s="1"/>
  <c r="E6" i="4"/>
  <c r="K6" i="4" s="1"/>
  <c r="D6" i="4"/>
  <c r="J6" i="4" s="1"/>
  <c r="C6" i="4"/>
  <c r="S5" i="4"/>
  <c r="X5" i="4" s="1"/>
  <c r="R5" i="4"/>
  <c r="W5" i="4" s="1"/>
  <c r="P5" i="4"/>
  <c r="U5" i="4" s="1"/>
  <c r="O5" i="4"/>
  <c r="T5" i="4" s="1"/>
  <c r="H5" i="4"/>
  <c r="N5" i="4" s="1"/>
  <c r="G5" i="4"/>
  <c r="M5" i="4" s="1"/>
  <c r="F5" i="4"/>
  <c r="E5" i="4"/>
  <c r="K5" i="4" s="1"/>
  <c r="D5" i="4"/>
  <c r="J5" i="4" s="1"/>
  <c r="C5" i="4"/>
  <c r="I5" i="4" s="1"/>
  <c r="S4" i="4"/>
  <c r="X4" i="4" s="1"/>
  <c r="R4" i="4"/>
  <c r="W4" i="4" s="1"/>
  <c r="P4" i="4"/>
  <c r="U4" i="4" s="1"/>
  <c r="O4" i="4"/>
  <c r="T4" i="4" s="1"/>
  <c r="H4" i="4"/>
  <c r="N4" i="4" s="1"/>
  <c r="G4" i="4"/>
  <c r="F4" i="4"/>
  <c r="E4" i="4"/>
  <c r="D4" i="4"/>
  <c r="C4" i="4"/>
  <c r="I4" i="4" s="1"/>
  <c r="P30" i="4"/>
  <c r="F30" i="4"/>
  <c r="E30" i="4"/>
  <c r="P29" i="4"/>
  <c r="F29" i="4"/>
  <c r="E29" i="4"/>
  <c r="E28" i="4"/>
  <c r="P27" i="4"/>
  <c r="F27" i="4"/>
  <c r="A21" i="4"/>
  <c r="A32" i="4" s="1"/>
  <c r="B32" i="4" s="1"/>
  <c r="T20" i="4"/>
  <c r="S20" i="4"/>
  <c r="R20" i="4"/>
  <c r="A20" i="4"/>
  <c r="A31" i="4" s="1"/>
  <c r="B31" i="4" s="1"/>
  <c r="T19" i="4"/>
  <c r="S19" i="4"/>
  <c r="R19" i="4"/>
  <c r="L19" i="4"/>
  <c r="N19" i="4"/>
  <c r="K19" i="4"/>
  <c r="J19" i="4"/>
  <c r="I19" i="4"/>
  <c r="T18" i="4"/>
  <c r="S18" i="4"/>
  <c r="R18" i="4"/>
  <c r="L18" i="4"/>
  <c r="I18" i="4"/>
  <c r="M18" i="4"/>
  <c r="K18" i="4"/>
  <c r="J18" i="4"/>
  <c r="M17" i="4"/>
  <c r="N17" i="4"/>
  <c r="K17" i="4"/>
  <c r="I17" i="4"/>
  <c r="L16" i="4"/>
  <c r="N16" i="4"/>
  <c r="B10" i="4"/>
  <c r="X9" i="4"/>
  <c r="X10" i="4"/>
  <c r="W9" i="4"/>
  <c r="U9" i="4"/>
  <c r="T9" i="4"/>
  <c r="B9" i="4"/>
  <c r="X8" i="4"/>
  <c r="W8" i="4"/>
  <c r="U8" i="4"/>
  <c r="L8" i="4"/>
  <c r="K8" i="4"/>
  <c r="I8" i="4"/>
  <c r="N8" i="4"/>
  <c r="J8" i="4"/>
  <c r="X7" i="4"/>
  <c r="W7" i="4"/>
  <c r="U7" i="4"/>
  <c r="T7" i="4"/>
  <c r="N7" i="4"/>
  <c r="M7" i="4"/>
  <c r="I7" i="4"/>
  <c r="L7" i="4"/>
  <c r="K7" i="4"/>
  <c r="I6" i="4"/>
  <c r="L5" i="4"/>
  <c r="L4" i="4"/>
  <c r="K4" i="4"/>
  <c r="M4" i="4"/>
  <c r="J4" i="4"/>
  <c r="T10" i="4" l="1"/>
  <c r="U10" i="4"/>
  <c r="B20" i="4"/>
  <c r="B21" i="4"/>
  <c r="D1" i="3" l="1"/>
  <c r="AE2" i="1"/>
  <c r="AB2" i="1"/>
  <c r="Y2" i="1"/>
  <c r="V2" i="1"/>
  <c r="S2" i="1"/>
  <c r="P2" i="1"/>
  <c r="M2" i="1"/>
  <c r="K2" i="1"/>
  <c r="A8" i="4" s="1"/>
  <c r="I2" i="1"/>
  <c r="A7" i="4" s="1"/>
  <c r="G2" i="1"/>
  <c r="A6" i="4" s="1"/>
  <c r="E2" i="1"/>
  <c r="A5" i="4" s="1"/>
  <c r="C2" i="1"/>
  <c r="A4" i="4" s="1"/>
  <c r="A15" i="4" l="1"/>
  <c r="B4" i="4"/>
  <c r="B5" i="4"/>
  <c r="A16" i="4"/>
  <c r="A18" i="4"/>
  <c r="B7" i="4"/>
  <c r="B6" i="4"/>
  <c r="A17" i="4"/>
  <c r="A19" i="4"/>
  <c r="B8" i="4"/>
  <c r="B19" i="4" l="1"/>
  <c r="A30" i="4"/>
  <c r="B30" i="4" s="1"/>
  <c r="B17" i="4"/>
  <c r="A28" i="4"/>
  <c r="B28" i="4" s="1"/>
  <c r="A29" i="4"/>
  <c r="B29" i="4" s="1"/>
  <c r="B18" i="4"/>
  <c r="A27" i="4"/>
  <c r="B27" i="4" s="1"/>
  <c r="B16" i="4"/>
  <c r="B15" i="4"/>
  <c r="A26" i="4"/>
  <c r="B26" i="4" s="1"/>
</calcChain>
</file>

<file path=xl/sharedStrings.xml><?xml version="1.0" encoding="utf-8"?>
<sst xmlns="http://schemas.openxmlformats.org/spreadsheetml/2006/main" count="253" uniqueCount="157">
  <si>
    <t>Nordeste
Estado/Cidade</t>
  </si>
  <si>
    <t>Temperatura verificada</t>
  </si>
  <si>
    <t>Temperatura prevista</t>
  </si>
  <si>
    <t>Condição de Tempo</t>
  </si>
  <si>
    <t>mínima</t>
  </si>
  <si>
    <t>máxima</t>
  </si>
  <si>
    <t>Nebulosidade</t>
  </si>
  <si>
    <t>Precipitação</t>
  </si>
  <si>
    <t>Período</t>
  </si>
  <si>
    <t>Bahia</t>
  </si>
  <si>
    <t>Salvador</t>
  </si>
  <si>
    <t>Pernambuco</t>
  </si>
  <si>
    <t>Recife</t>
  </si>
  <si>
    <t>Ceará</t>
  </si>
  <si>
    <t>Fortaleza</t>
  </si>
  <si>
    <t>Demais regiões do NE</t>
  </si>
  <si>
    <t>Norte
Estado/Cidade</t>
  </si>
  <si>
    <t>Pará</t>
  </si>
  <si>
    <t>Belém</t>
  </si>
  <si>
    <t>Amazonas</t>
  </si>
  <si>
    <t>Manaus</t>
  </si>
  <si>
    <t>Maranhão</t>
  </si>
  <si>
    <t>São Luis</t>
  </si>
  <si>
    <t>Roraima</t>
  </si>
  <si>
    <t>Boa Vista</t>
  </si>
  <si>
    <t>céu claro</t>
  </si>
  <si>
    <t>chuvisco</t>
  </si>
  <si>
    <t>ao longo do dia</t>
  </si>
  <si>
    <t>claro apresentando períodos de nublado</t>
  </si>
  <si>
    <t>chuvisco/chuva fraca</t>
  </si>
  <si>
    <t>madrugada</t>
  </si>
  <si>
    <t>claro apresentando períodos de parcialmente nublado</t>
  </si>
  <si>
    <t>chuvisco isolado</t>
  </si>
  <si>
    <t>madrugada até a tarde</t>
  </si>
  <si>
    <t>claro passando a nublado</t>
  </si>
  <si>
    <t>chuva forte</t>
  </si>
  <si>
    <t>madrugada e manhã</t>
  </si>
  <si>
    <t>claro passando a parcialmente nublado</t>
  </si>
  <si>
    <t>chuva fraca</t>
  </si>
  <si>
    <t>madrugada/tarde</t>
  </si>
  <si>
    <t>nebulosidade variável</t>
  </si>
  <si>
    <t>chuva fraca isolada</t>
  </si>
  <si>
    <t>madrugada/tarde e noite</t>
  </si>
  <si>
    <t>nublado</t>
  </si>
  <si>
    <t>chuva fraca com períodos de moderada</t>
  </si>
  <si>
    <t>madrugada e manhã/noite</t>
  </si>
  <si>
    <t>nublado passando a claro</t>
  </si>
  <si>
    <t>chuva moderada</t>
  </si>
  <si>
    <t>manhã</t>
  </si>
  <si>
    <t>nublado passando a parcialmente nublado</t>
  </si>
  <si>
    <t>chuva moderada com períodos de forte</t>
  </si>
  <si>
    <t>manhã até a noite</t>
  </si>
  <si>
    <t>nublado apresentando períodos de parcialmente nublado</t>
  </si>
  <si>
    <t>pancadas de chuva</t>
  </si>
  <si>
    <t>manhã/noite</t>
  </si>
  <si>
    <t>parcialmente nublado</t>
  </si>
  <si>
    <t>manhã e tarde</t>
  </si>
  <si>
    <t>parcialmente nublado apresentando períodos de claro</t>
  </si>
  <si>
    <t>noite</t>
  </si>
  <si>
    <t>parcialmente nublado apresentando períodos de nublado</t>
  </si>
  <si>
    <t>noite e madrugada</t>
  </si>
  <si>
    <t>parcialmente nublado passando a claro</t>
  </si>
  <si>
    <t>tarde</t>
  </si>
  <si>
    <t>parcialmente nublado passando a nublado</t>
  </si>
  <si>
    <t>tarde e noite</t>
  </si>
  <si>
    <t>Caráter</t>
  </si>
  <si>
    <t>contínua</t>
  </si>
  <si>
    <t>intermitente</t>
  </si>
  <si>
    <t>contínua/intermitente</t>
  </si>
  <si>
    <t>#</t>
  </si>
  <si>
    <t>CAPITAL</t>
  </si>
  <si>
    <t>TEMP. MIN</t>
  </si>
  <si>
    <t>TEMP. MAX</t>
  </si>
  <si>
    <t>UMID. RELATIVA</t>
  </si>
  <si>
    <t>CHUVA (mm)</t>
  </si>
  <si>
    <t>ARACAJU</t>
  </si>
  <si>
    <t>25,1°C</t>
  </si>
  <si>
    <t>30,8°C</t>
  </si>
  <si>
    <t>BELEM</t>
  </si>
  <si>
    <t>23,5°C</t>
  </si>
  <si>
    <t>34,2°C</t>
  </si>
  <si>
    <t>BELO HORIZONTE</t>
  </si>
  <si>
    <t>20,6°C</t>
  </si>
  <si>
    <t>30,0°C</t>
  </si>
  <si>
    <t>BOA VISTA</t>
  </si>
  <si>
    <t>22,1°C</t>
  </si>
  <si>
    <t>27,6°C</t>
  </si>
  <si>
    <t>BRASILIA</t>
  </si>
  <si>
    <t>19,3°C</t>
  </si>
  <si>
    <t>30,2°C</t>
  </si>
  <si>
    <t>CAMPO GRANDE</t>
  </si>
  <si>
    <t>21,1°C</t>
  </si>
  <si>
    <t>33,1°C</t>
  </si>
  <si>
    <t>CUIABA</t>
  </si>
  <si>
    <t>26,2°C</t>
  </si>
  <si>
    <t>39,3°C</t>
  </si>
  <si>
    <t>CURITIBA</t>
  </si>
  <si>
    <t>19,2°C</t>
  </si>
  <si>
    <t>-</t>
  </si>
  <si>
    <t>FLORIANOPOLIS</t>
  </si>
  <si>
    <t>22,6°C</t>
  </si>
  <si>
    <t>32,4°C</t>
  </si>
  <si>
    <t>FORTALEZA</t>
  </si>
  <si>
    <t>26,5°C</t>
  </si>
  <si>
    <t>32,5°C</t>
  </si>
  <si>
    <t>GOIANIA</t>
  </si>
  <si>
    <t>21,6°C</t>
  </si>
  <si>
    <t>33,4°C</t>
  </si>
  <si>
    <t>JOAO PESSOA</t>
  </si>
  <si>
    <t>MACAPA</t>
  </si>
  <si>
    <t>24,0°C</t>
  </si>
  <si>
    <t>31,8°C</t>
  </si>
  <si>
    <t>MACEIÓ</t>
  </si>
  <si>
    <t>23,3°C</t>
  </si>
  <si>
    <t>MANAUS</t>
  </si>
  <si>
    <t>21,9°C</t>
  </si>
  <si>
    <t>29,8°C</t>
  </si>
  <si>
    <t>NATAL</t>
  </si>
  <si>
    <t>26,8°C</t>
  </si>
  <si>
    <t>31,2°C</t>
  </si>
  <si>
    <t>PALMAS</t>
  </si>
  <si>
    <t>21,4°C</t>
  </si>
  <si>
    <t>29,4°C</t>
  </si>
  <si>
    <t>PORTO ALEGRE</t>
  </si>
  <si>
    <t>19,7°C</t>
  </si>
  <si>
    <t>36,0°C</t>
  </si>
  <si>
    <t>PORTO VELHO</t>
  </si>
  <si>
    <t>RECIFE</t>
  </si>
  <si>
    <t>24,8°C</t>
  </si>
  <si>
    <t>32,8°C</t>
  </si>
  <si>
    <t>RIO BRANCO</t>
  </si>
  <si>
    <t>RIO DE JANEIRO</t>
  </si>
  <si>
    <t>23,9°C</t>
  </si>
  <si>
    <t>32,3°C</t>
  </si>
  <si>
    <t>SALVADOR</t>
  </si>
  <si>
    <t>SAO LUIS</t>
  </si>
  <si>
    <t>25,8°C</t>
  </si>
  <si>
    <t>32,1°C</t>
  </si>
  <si>
    <t>SAO PAULO</t>
  </si>
  <si>
    <t>28,0°C</t>
  </si>
  <si>
    <t>TERESINA</t>
  </si>
  <si>
    <t>24,7°C</t>
  </si>
  <si>
    <t>34,6°C</t>
  </si>
  <si>
    <t>VITORIA</t>
  </si>
  <si>
    <t>25,2°C</t>
  </si>
  <si>
    <t>Subsistema Nordeste</t>
  </si>
  <si>
    <t>Data</t>
  </si>
  <si>
    <t>Dia</t>
  </si>
  <si>
    <t>Temperatura Prevista</t>
  </si>
  <si>
    <t>Temperatura Verificada</t>
  </si>
  <si>
    <t>Tempo Previsto</t>
  </si>
  <si>
    <t>Tempo Verificado</t>
  </si>
  <si>
    <t>Natal</t>
  </si>
  <si>
    <t>Demais</t>
  </si>
  <si>
    <t>Demais Áreas</t>
  </si>
  <si>
    <t>Subsistema Norte</t>
  </si>
  <si>
    <t>São Luís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</si>
</sst>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ddd"/>
  </numFmts>
  <fonts count="12"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color rgb="FFFF0000"/>
      <name val="Calibri"/>
      <family val="2"/>
      <scheme val="minor"/>
    </font>
    <font>
      <sz val="11"/>
      <color rgb="FF0000FF"/>
      <name val="Calibri"/>
      <family val="2"/>
      <scheme val="minor"/>
    </font>
    <font>
      <b/>
      <sz val="11"/>
      <color rgb="FF0000FF"/>
      <name val="Calibri"/>
      <family val="2"/>
      <scheme val="minor"/>
    </font>
    <font>
      <b/>
      <sz val="11"/>
      <color rgb="FFFF0000"/>
      <name val="Calibri"/>
      <family val="2"/>
      <scheme val="minor"/>
    </font>
    <font>
      <b/>
      <sz val="8"/>
      <name val="Arial"/>
      <family val="2"/>
    </font>
    <font>
      <sz val="8"/>
      <name val="Arial"/>
      <family val="2"/>
    </font>
    <font>
      <sz val="8"/>
      <color rgb="FFFF0000"/>
      <name val="Arial"/>
      <family val="2"/>
    </font>
    <font>
      <sz val="11"/>
      <color theme="1"/>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4" tint="-0.249977111117893"/>
        <bgColor indexed="64"/>
      </patternFill>
    </fill>
    <fill>
      <patternFill patternType="solid">
        <fgColor theme="0"/>
        <bgColor indexed="64"/>
      </patternFill>
    </fill>
    <fill>
      <patternFill patternType="solid">
        <fgColor theme="2"/>
        <bgColor indexed="64"/>
      </patternFill>
    </fill>
    <fill>
      <patternFill patternType="solid">
        <fgColor indexed="43"/>
        <bgColor indexed="64"/>
      </patternFill>
    </fill>
    <fill>
      <patternFill patternType="solid">
        <fgColor indexed="22"/>
        <bgColor indexed="64"/>
      </patternFill>
    </fill>
    <fill>
      <patternFill patternType="solid">
        <fgColor theme="9" tint="0.79998168889431442"/>
        <bgColor indexed="64"/>
      </patternFill>
    </fill>
    <fill>
      <patternFill patternType="solid">
        <fgColor theme="3" tint="0.79998168889431442"/>
        <bgColor indexed="64"/>
      </patternFill>
    </fill>
  </fills>
  <borders count="46">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medium">
        <color indexed="64"/>
      </left>
      <right/>
      <top/>
      <bottom/>
      <diagonal/>
    </border>
    <border>
      <left style="medium">
        <color indexed="64"/>
      </left>
      <right/>
      <top style="thin">
        <color indexed="64"/>
      </top>
      <bottom/>
      <diagonal/>
    </border>
    <border>
      <left/>
      <right style="thin">
        <color indexed="64"/>
      </right>
      <top style="medium">
        <color indexed="64"/>
      </top>
      <bottom style="thin">
        <color indexed="64"/>
      </bottom>
      <diagonal/>
    </border>
    <border>
      <left/>
      <right style="medium">
        <color indexed="64"/>
      </right>
      <top style="thin">
        <color indexed="64"/>
      </top>
      <bottom/>
      <diagonal/>
    </border>
    <border>
      <left/>
      <right/>
      <top style="thin">
        <color indexed="64"/>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right/>
      <top style="medium">
        <color indexed="64"/>
      </top>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right style="thin">
        <color indexed="64"/>
      </right>
      <top/>
      <bottom/>
      <diagonal/>
    </border>
    <border>
      <left style="medium">
        <color indexed="64"/>
      </left>
      <right/>
      <top/>
      <bottom style="thin">
        <color indexed="64"/>
      </bottom>
      <diagonal/>
    </border>
    <border>
      <left/>
      <right style="thin">
        <color indexed="64"/>
      </right>
      <top/>
      <bottom style="thin">
        <color indexed="64"/>
      </bottom>
      <diagonal/>
    </border>
  </borders>
  <cellStyleXfs count="2">
    <xf numFmtId="0" fontId="0" fillId="0" borderId="0"/>
    <xf numFmtId="9" fontId="11" fillId="0" borderId="0"/>
  </cellStyleXfs>
  <cellXfs count="151">
    <xf numFmtId="0" fontId="0" fillId="0" borderId="0" xfId="0"/>
    <xf numFmtId="0" fontId="2" fillId="3" borderId="0" xfId="0" applyFont="1" applyFill="1"/>
    <xf numFmtId="0" fontId="1" fillId="0" borderId="0" xfId="0" applyFont="1" applyAlignment="1">
      <alignment horizontal="left" indent="1"/>
    </xf>
    <xf numFmtId="0" fontId="1" fillId="0" borderId="0" xfId="0" applyFont="1" applyAlignment="1">
      <alignment horizontal="left"/>
    </xf>
    <xf numFmtId="0" fontId="0" fillId="5" borderId="0" xfId="0" applyFill="1" applyAlignment="1">
      <alignment horizontal="center"/>
    </xf>
    <xf numFmtId="14" fontId="1" fillId="4" borderId="0" xfId="0" applyNumberFormat="1" applyFont="1" applyFill="1" applyAlignment="1">
      <alignment horizontal="center"/>
    </xf>
    <xf numFmtId="164" fontId="0" fillId="5" borderId="0" xfId="0" applyNumberFormat="1" applyFill="1" applyAlignment="1">
      <alignment horizontal="center"/>
    </xf>
    <xf numFmtId="0" fontId="0" fillId="5" borderId="2" xfId="0" applyFill="1" applyBorder="1" applyAlignment="1">
      <alignment horizontal="center"/>
    </xf>
    <xf numFmtId="10" fontId="0" fillId="5" borderId="2" xfId="0" applyNumberFormat="1" applyFill="1" applyBorder="1" applyAlignment="1">
      <alignment horizontal="center"/>
    </xf>
    <xf numFmtId="0" fontId="0" fillId="5" borderId="4" xfId="0" applyFill="1" applyBorder="1" applyAlignment="1">
      <alignment horizontal="center"/>
    </xf>
    <xf numFmtId="10" fontId="0" fillId="5" borderId="4" xfId="0" applyNumberFormat="1" applyFill="1" applyBorder="1" applyAlignment="1">
      <alignment horizontal="center"/>
    </xf>
    <xf numFmtId="0" fontId="1" fillId="2" borderId="15" xfId="0" applyFont="1" applyFill="1" applyBorder="1" applyAlignment="1">
      <alignment horizontal="center"/>
    </xf>
    <xf numFmtId="0" fontId="1" fillId="0" borderId="2" xfId="0" applyFont="1" applyBorder="1" applyAlignment="1">
      <alignment horizontal="center"/>
    </xf>
    <xf numFmtId="0" fontId="5" fillId="0" borderId="0" xfId="0" applyFont="1" applyAlignment="1">
      <alignment horizontal="center"/>
    </xf>
    <xf numFmtId="0" fontId="4" fillId="0" borderId="0" xfId="0" applyFont="1" applyAlignment="1">
      <alignment horizontal="center"/>
    </xf>
    <xf numFmtId="16" fontId="0" fillId="0" borderId="0" xfId="0" applyNumberFormat="1" applyAlignment="1">
      <alignment horizontal="center"/>
    </xf>
    <xf numFmtId="0" fontId="0" fillId="0" borderId="0" xfId="0" applyAlignment="1">
      <alignment horizontal="center"/>
    </xf>
    <xf numFmtId="0" fontId="0" fillId="0" borderId="17" xfId="0" applyBorder="1"/>
    <xf numFmtId="0" fontId="1" fillId="2" borderId="14" xfId="0" applyFont="1" applyFill="1" applyBorder="1" applyAlignment="1">
      <alignment horizontal="center"/>
    </xf>
    <xf numFmtId="0" fontId="1" fillId="2" borderId="13" xfId="0" applyFont="1" applyFill="1" applyBorder="1" applyAlignment="1">
      <alignment horizontal="center"/>
    </xf>
    <xf numFmtId="0" fontId="6" fillId="2" borderId="14" xfId="0" applyFont="1" applyFill="1" applyBorder="1" applyAlignment="1">
      <alignment horizontal="center"/>
    </xf>
    <xf numFmtId="0" fontId="7" fillId="2" borderId="13" xfId="0" applyFont="1" applyFill="1" applyBorder="1" applyAlignment="1">
      <alignment horizontal="center"/>
    </xf>
    <xf numFmtId="0" fontId="7" fillId="2" borderId="14" xfId="0" applyFont="1" applyFill="1" applyBorder="1" applyAlignment="1">
      <alignment horizontal="center"/>
    </xf>
    <xf numFmtId="0" fontId="7" fillId="2" borderId="15" xfId="0" applyFont="1" applyFill="1" applyBorder="1" applyAlignment="1">
      <alignment horizontal="center"/>
    </xf>
    <xf numFmtId="0" fontId="3" fillId="2" borderId="0" xfId="0" applyFont="1" applyFill="1" applyAlignment="1">
      <alignment horizontal="center" vertical="center" wrapText="1"/>
    </xf>
    <xf numFmtId="0" fontId="3" fillId="2" borderId="24" xfId="0" applyFont="1" applyFill="1" applyBorder="1" applyAlignment="1">
      <alignment horizontal="center" vertical="center" wrapText="1"/>
    </xf>
    <xf numFmtId="0" fontId="8" fillId="7" borderId="2" xfId="0" applyFont="1" applyFill="1" applyBorder="1" applyAlignment="1">
      <alignment horizontal="center" vertical="center" wrapText="1"/>
    </xf>
    <xf numFmtId="0" fontId="1" fillId="0" borderId="0" xfId="0" applyFont="1"/>
    <xf numFmtId="0" fontId="1" fillId="0" borderId="17" xfId="0" applyFont="1" applyBorder="1"/>
    <xf numFmtId="0" fontId="0" fillId="0" borderId="9" xfId="0" quotePrefix="1" applyBorder="1" applyAlignment="1">
      <alignment horizontal="center"/>
    </xf>
    <xf numFmtId="0" fontId="0" fillId="0" borderId="8" xfId="0" applyBorder="1" applyAlignment="1">
      <alignment horizontal="left"/>
    </xf>
    <xf numFmtId="0" fontId="5" fillId="0" borderId="8" xfId="0" applyFont="1" applyBorder="1" applyAlignment="1">
      <alignment horizontal="center"/>
    </xf>
    <xf numFmtId="10" fontId="0" fillId="0" borderId="0" xfId="0" applyNumberFormat="1" applyAlignment="1">
      <alignment horizontal="center"/>
    </xf>
    <xf numFmtId="16" fontId="9" fillId="0" borderId="2" xfId="0" applyNumberFormat="1" applyFont="1" applyBorder="1"/>
    <xf numFmtId="165" fontId="9" fillId="0" borderId="2" xfId="0" applyNumberFormat="1" applyFont="1" applyBorder="1" applyAlignment="1">
      <alignment horizontal="center"/>
    </xf>
    <xf numFmtId="1" fontId="9" fillId="0" borderId="2" xfId="0" applyNumberFormat="1" applyFont="1" applyBorder="1" applyAlignment="1">
      <alignment horizontal="center" vertical="center"/>
    </xf>
    <xf numFmtId="1" fontId="10" fillId="0" borderId="2" xfId="0" applyNumberFormat="1" applyFont="1" applyBorder="1" applyAlignment="1">
      <alignment horizontal="center" vertical="center"/>
    </xf>
    <xf numFmtId="1" fontId="9" fillId="0" borderId="2" xfId="0" applyNumberFormat="1" applyFont="1" applyBorder="1" applyAlignment="1">
      <alignment horizontal="center" vertical="center" wrapText="1"/>
    </xf>
    <xf numFmtId="1" fontId="10" fillId="0" borderId="2" xfId="0" applyNumberFormat="1" applyFont="1" applyBorder="1" applyAlignment="1">
      <alignment horizontal="center" vertical="center" wrapText="1"/>
    </xf>
    <xf numFmtId="0" fontId="3" fillId="2" borderId="26" xfId="0" applyFont="1" applyFill="1" applyBorder="1" applyAlignment="1">
      <alignment horizontal="center" vertical="center" wrapText="1"/>
    </xf>
    <xf numFmtId="0" fontId="0" fillId="0" borderId="2" xfId="0" applyBorder="1"/>
    <xf numFmtId="0" fontId="5" fillId="0" borderId="2" xfId="0" applyFont="1" applyBorder="1" applyAlignment="1">
      <alignment horizontal="center"/>
    </xf>
    <xf numFmtId="0" fontId="6" fillId="2" borderId="2" xfId="0" applyFont="1" applyFill="1" applyBorder="1" applyAlignment="1">
      <alignment horizontal="center"/>
    </xf>
    <xf numFmtId="0" fontId="5" fillId="0" borderId="5" xfId="0" applyFont="1" applyBorder="1" applyAlignment="1">
      <alignment horizontal="center"/>
    </xf>
    <xf numFmtId="0" fontId="7" fillId="2" borderId="9" xfId="0" applyFont="1" applyFill="1" applyBorder="1" applyAlignment="1">
      <alignment horizontal="center"/>
    </xf>
    <xf numFmtId="0" fontId="5" fillId="0" borderId="4" xfId="0" applyFont="1" applyBorder="1" applyAlignment="1">
      <alignment horizontal="center"/>
    </xf>
    <xf numFmtId="0" fontId="0" fillId="0" borderId="0" xfId="0"/>
    <xf numFmtId="0" fontId="1" fillId="2" borderId="27" xfId="0" applyFont="1" applyFill="1" applyBorder="1" applyAlignment="1">
      <alignment horizontal="center"/>
    </xf>
    <xf numFmtId="0" fontId="1" fillId="0" borderId="25" xfId="0" applyFont="1" applyBorder="1" applyAlignment="1">
      <alignment horizontal="center"/>
    </xf>
    <xf numFmtId="0" fontId="1" fillId="2" borderId="29" xfId="0" applyFont="1" applyFill="1" applyBorder="1" applyAlignment="1">
      <alignment horizontal="center"/>
    </xf>
    <xf numFmtId="9" fontId="0" fillId="5" borderId="9" xfId="0" applyNumberFormat="1" applyFill="1" applyBorder="1" applyAlignment="1">
      <alignment horizontal="center"/>
    </xf>
    <xf numFmtId="0" fontId="0" fillId="5" borderId="0" xfId="0" applyFill="1" applyAlignment="1">
      <alignment horizontal="left"/>
    </xf>
    <xf numFmtId="0" fontId="0" fillId="5" borderId="2" xfId="0" applyFill="1" applyBorder="1" applyAlignment="1">
      <alignment horizontal="left"/>
    </xf>
    <xf numFmtId="0" fontId="0" fillId="5" borderId="4" xfId="0" applyFill="1" applyBorder="1" applyAlignment="1">
      <alignment horizontal="left"/>
    </xf>
    <xf numFmtId="0" fontId="0" fillId="0" borderId="0" xfId="0" applyAlignment="1">
      <alignment horizontal="left"/>
    </xf>
    <xf numFmtId="0" fontId="5" fillId="0" borderId="6" xfId="0" applyFont="1" applyBorder="1" applyAlignment="1">
      <alignment horizontal="center"/>
    </xf>
    <xf numFmtId="0" fontId="1" fillId="2" borderId="30" xfId="0" applyFont="1" applyFill="1" applyBorder="1" applyAlignment="1">
      <alignment horizontal="center"/>
    </xf>
    <xf numFmtId="0" fontId="0" fillId="0" borderId="2" xfId="0" applyBorder="1" applyAlignment="1">
      <alignment horizontal="center"/>
    </xf>
    <xf numFmtId="9" fontId="0" fillId="5" borderId="11" xfId="0" applyNumberFormat="1" applyFill="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11" xfId="0" applyFont="1" applyBorder="1" applyAlignment="1">
      <alignment horizontal="center"/>
    </xf>
    <xf numFmtId="1" fontId="0" fillId="5" borderId="2" xfId="1" applyNumberFormat="1" applyFont="1" applyFill="1" applyBorder="1" applyAlignment="1">
      <alignment horizontal="center"/>
    </xf>
    <xf numFmtId="0" fontId="7" fillId="2" borderId="31" xfId="0" applyFont="1" applyFill="1" applyBorder="1" applyAlignment="1">
      <alignment horizontal="center"/>
    </xf>
    <xf numFmtId="0" fontId="6" fillId="2" borderId="32" xfId="0" applyFont="1" applyFill="1" applyBorder="1" applyAlignment="1">
      <alignment horizontal="center"/>
    </xf>
    <xf numFmtId="0" fontId="3" fillId="2" borderId="22" xfId="0" applyFont="1" applyFill="1" applyBorder="1" applyAlignment="1">
      <alignment horizontal="center" vertical="center" wrapText="1"/>
    </xf>
    <xf numFmtId="9" fontId="0" fillId="0" borderId="0" xfId="0" applyNumberFormat="1" applyAlignment="1">
      <alignment horizontal="center"/>
    </xf>
    <xf numFmtId="0" fontId="6" fillId="2" borderId="8" xfId="0" applyFont="1" applyFill="1" applyBorder="1" applyAlignment="1">
      <alignment horizontal="center"/>
    </xf>
    <xf numFmtId="0" fontId="4" fillId="0" borderId="35" xfId="0" applyFont="1" applyBorder="1" applyAlignment="1">
      <alignment horizontal="center"/>
    </xf>
    <xf numFmtId="0" fontId="4" fillId="0" borderId="13" xfId="0" applyFont="1" applyBorder="1" applyAlignment="1">
      <alignment horizontal="center"/>
    </xf>
    <xf numFmtId="0" fontId="3" fillId="2" borderId="30" xfId="0" applyFont="1" applyFill="1" applyBorder="1" applyAlignment="1">
      <alignment horizontal="center" vertical="center" wrapText="1"/>
    </xf>
    <xf numFmtId="0" fontId="4" fillId="0" borderId="36" xfId="0" applyFont="1" applyBorder="1" applyAlignment="1">
      <alignment horizontal="center"/>
    </xf>
    <xf numFmtId="0" fontId="7" fillId="2" borderId="1" xfId="0" applyFont="1" applyFill="1" applyBorder="1" applyAlignment="1">
      <alignment horizontal="center"/>
    </xf>
    <xf numFmtId="0" fontId="4" fillId="0" borderId="1" xfId="0" applyFont="1" applyBorder="1" applyAlignment="1">
      <alignment horizontal="center"/>
    </xf>
    <xf numFmtId="0" fontId="4" fillId="0" borderId="3" xfId="0" applyFont="1" applyBorder="1" applyAlignment="1">
      <alignment horizontal="center"/>
    </xf>
    <xf numFmtId="0" fontId="5" fillId="0" borderId="10" xfId="0" applyFont="1" applyBorder="1" applyAlignment="1">
      <alignment horizontal="center"/>
    </xf>
    <xf numFmtId="0" fontId="5" fillId="0" borderId="36" xfId="0" applyFont="1" applyBorder="1" applyAlignment="1">
      <alignment horizontal="center"/>
    </xf>
    <xf numFmtId="0" fontId="6" fillId="2" borderId="1" xfId="0" applyFont="1" applyFill="1" applyBorder="1" applyAlignment="1">
      <alignment horizontal="center"/>
    </xf>
    <xf numFmtId="0" fontId="5" fillId="0" borderId="1" xfId="0" applyFont="1" applyBorder="1" applyAlignment="1">
      <alignment horizontal="center"/>
    </xf>
    <xf numFmtId="0" fontId="5" fillId="0" borderId="3" xfId="0" applyFont="1" applyBorder="1" applyAlignment="1">
      <alignment horizontal="center"/>
    </xf>
    <xf numFmtId="0" fontId="7" fillId="2" borderId="18" xfId="0" applyFont="1" applyFill="1" applyBorder="1" applyAlignment="1">
      <alignment horizontal="center"/>
    </xf>
    <xf numFmtId="0" fontId="7" fillId="2" borderId="37" xfId="0" applyFont="1" applyFill="1" applyBorder="1" applyAlignment="1">
      <alignment horizontal="center"/>
    </xf>
    <xf numFmtId="0" fontId="0" fillId="9" borderId="0" xfId="0" applyFill="1"/>
    <xf numFmtId="0" fontId="1" fillId="0" borderId="8" xfId="0" applyFont="1" applyBorder="1" applyAlignment="1">
      <alignment horizontal="center"/>
    </xf>
    <xf numFmtId="0" fontId="1" fillId="0" borderId="9" xfId="0" applyFont="1" applyBorder="1" applyAlignment="1">
      <alignment horizontal="center"/>
    </xf>
    <xf numFmtId="0" fontId="5" fillId="4" borderId="6" xfId="0" applyFont="1" applyFill="1" applyBorder="1" applyAlignment="1">
      <alignment horizontal="center"/>
    </xf>
    <xf numFmtId="0" fontId="4" fillId="4" borderId="35" xfId="0" applyFont="1" applyFill="1" applyBorder="1" applyAlignment="1">
      <alignment horizontal="center"/>
    </xf>
    <xf numFmtId="0" fontId="7" fillId="4" borderId="14" xfId="0" applyFont="1" applyFill="1" applyBorder="1" applyAlignment="1">
      <alignment horizontal="center"/>
    </xf>
    <xf numFmtId="0" fontId="7" fillId="4" borderId="13" xfId="0" applyFont="1" applyFill="1" applyBorder="1" applyAlignment="1">
      <alignment horizontal="center"/>
    </xf>
    <xf numFmtId="0" fontId="5" fillId="4" borderId="8" xfId="0" applyFont="1" applyFill="1" applyBorder="1" applyAlignment="1">
      <alignment horizontal="center"/>
    </xf>
    <xf numFmtId="0" fontId="4" fillId="4" borderId="13" xfId="0" applyFont="1" applyFill="1" applyBorder="1" applyAlignment="1">
      <alignment horizontal="center"/>
    </xf>
    <xf numFmtId="0" fontId="6" fillId="4" borderId="14" xfId="0" applyFont="1" applyFill="1" applyBorder="1" applyAlignment="1">
      <alignment horizontal="center"/>
    </xf>
    <xf numFmtId="0" fontId="5" fillId="4" borderId="10" xfId="0" applyFont="1" applyFill="1" applyBorder="1" applyAlignment="1">
      <alignment horizontal="center"/>
    </xf>
    <xf numFmtId="0" fontId="4" fillId="4" borderId="3" xfId="0" applyFont="1" applyFill="1" applyBorder="1" applyAlignment="1">
      <alignment horizontal="center"/>
    </xf>
    <xf numFmtId="0" fontId="0" fillId="4" borderId="0" xfId="0" applyFill="1"/>
    <xf numFmtId="0" fontId="3" fillId="4" borderId="22" xfId="0" applyFont="1" applyFill="1" applyBorder="1" applyAlignment="1">
      <alignment horizontal="center" vertical="center" wrapText="1"/>
    </xf>
    <xf numFmtId="0" fontId="6" fillId="4" borderId="32" xfId="0" applyFont="1" applyFill="1" applyBorder="1" applyAlignment="1">
      <alignment horizontal="center"/>
    </xf>
    <xf numFmtId="0" fontId="7" fillId="4" borderId="31" xfId="0" applyFont="1" applyFill="1" applyBorder="1" applyAlignment="1">
      <alignment horizontal="center"/>
    </xf>
    <xf numFmtId="0" fontId="5" fillId="4" borderId="5" xfId="0" applyFont="1" applyFill="1" applyBorder="1" applyAlignment="1">
      <alignment horizontal="center"/>
    </xf>
    <xf numFmtId="0" fontId="4" fillId="4" borderId="7" xfId="0" applyFont="1" applyFill="1" applyBorder="1" applyAlignment="1">
      <alignment horizontal="center"/>
    </xf>
    <xf numFmtId="0" fontId="6" fillId="4" borderId="2" xfId="0" applyFont="1" applyFill="1" applyBorder="1" applyAlignment="1">
      <alignment horizontal="center"/>
    </xf>
    <xf numFmtId="0" fontId="7" fillId="4" borderId="9" xfId="0" applyFont="1" applyFill="1" applyBorder="1" applyAlignment="1">
      <alignment horizontal="center"/>
    </xf>
    <xf numFmtId="0" fontId="5" fillId="4" borderId="2" xfId="0" applyFont="1" applyFill="1" applyBorder="1" applyAlignment="1">
      <alignment horizontal="center"/>
    </xf>
    <xf numFmtId="0" fontId="4" fillId="4" borderId="9" xfId="0" applyFont="1" applyFill="1" applyBorder="1" applyAlignment="1">
      <alignment horizontal="center"/>
    </xf>
    <xf numFmtId="0" fontId="5" fillId="4" borderId="4" xfId="0" applyFont="1" applyFill="1" applyBorder="1" applyAlignment="1">
      <alignment horizontal="center"/>
    </xf>
    <xf numFmtId="0" fontId="4" fillId="4" borderId="11" xfId="0" applyFont="1" applyFill="1" applyBorder="1" applyAlignment="1">
      <alignment horizontal="center"/>
    </xf>
    <xf numFmtId="0" fontId="0" fillId="0" borderId="0" xfId="0"/>
    <xf numFmtId="0" fontId="8" fillId="7" borderId="1" xfId="0" applyFont="1" applyFill="1" applyBorder="1" applyAlignment="1">
      <alignment horizontal="center" vertical="center" wrapText="1"/>
    </xf>
    <xf numFmtId="0" fontId="8" fillId="8" borderId="2" xfId="0" applyFont="1" applyFill="1" applyBorder="1" applyAlignment="1">
      <alignment horizontal="center" vertical="center" wrapText="1"/>
    </xf>
    <xf numFmtId="0" fontId="0" fillId="0" borderId="38" xfId="0" applyBorder="1" applyAlignment="1">
      <alignment horizontal="center"/>
    </xf>
    <xf numFmtId="0" fontId="0" fillId="0" borderId="22" xfId="0" applyBorder="1"/>
    <xf numFmtId="0" fontId="0" fillId="0" borderId="23" xfId="0" applyBorder="1"/>
    <xf numFmtId="0" fontId="1" fillId="0" borderId="6" xfId="0" applyFont="1" applyBorder="1" applyAlignment="1">
      <alignment horizontal="center"/>
    </xf>
    <xf numFmtId="0" fontId="0" fillId="0" borderId="35" xfId="0" applyBorder="1"/>
    <xf numFmtId="0" fontId="0" fillId="0" borderId="28" xfId="0" applyBorder="1"/>
    <xf numFmtId="0" fontId="1" fillId="0" borderId="17" xfId="0" applyFont="1" applyBorder="1" applyAlignment="1">
      <alignment horizontal="center"/>
    </xf>
    <xf numFmtId="0" fontId="0" fillId="0" borderId="17" xfId="0" applyBorder="1"/>
    <xf numFmtId="0" fontId="1" fillId="0" borderId="0" xfId="0" applyFont="1" applyAlignment="1">
      <alignment horizontal="center"/>
    </xf>
    <xf numFmtId="0" fontId="0" fillId="0" borderId="0" xfId="0"/>
    <xf numFmtId="0" fontId="1" fillId="2" borderId="8" xfId="0" applyFont="1" applyFill="1" applyBorder="1" applyAlignment="1">
      <alignment horizontal="center"/>
    </xf>
    <xf numFmtId="0" fontId="0" fillId="0" borderId="25" xfId="0" applyBorder="1"/>
    <xf numFmtId="0" fontId="1" fillId="0" borderId="8" xfId="0" applyFont="1" applyBorder="1" applyAlignment="1">
      <alignment horizontal="center"/>
    </xf>
    <xf numFmtId="14" fontId="0" fillId="0" borderId="16" xfId="0" applyNumberFormat="1" applyBorder="1" applyAlignment="1">
      <alignment horizontal="center"/>
    </xf>
    <xf numFmtId="0" fontId="0" fillId="0" borderId="41" xfId="0" applyBorder="1"/>
    <xf numFmtId="0" fontId="1" fillId="2" borderId="12" xfId="0" applyFont="1" applyFill="1" applyBorder="1" applyAlignment="1">
      <alignment horizontal="center"/>
    </xf>
    <xf numFmtId="0" fontId="3" fillId="2" borderId="6" xfId="0" applyFont="1" applyFill="1" applyBorder="1" applyAlignment="1">
      <alignment horizontal="center" vertical="center" wrapText="1"/>
    </xf>
    <xf numFmtId="0" fontId="0" fillId="0" borderId="39" xfId="0" applyBorder="1"/>
    <xf numFmtId="0" fontId="0" fillId="0" borderId="26" xfId="0" applyBorder="1"/>
    <xf numFmtId="0" fontId="0" fillId="0" borderId="43" xfId="0" applyBorder="1"/>
    <xf numFmtId="0" fontId="0" fillId="0" borderId="44" xfId="0" applyBorder="1"/>
    <xf numFmtId="0" fontId="0" fillId="0" borderId="45" xfId="0" applyBorder="1"/>
    <xf numFmtId="14" fontId="1" fillId="0" borderId="40" xfId="0" applyNumberFormat="1" applyFont="1" applyBorder="1" applyAlignment="1">
      <alignment horizontal="center"/>
    </xf>
    <xf numFmtId="0" fontId="0" fillId="0" borderId="19" xfId="0" applyBorder="1"/>
    <xf numFmtId="0" fontId="1" fillId="0" borderId="10" xfId="0" applyFont="1" applyBorder="1" applyAlignment="1">
      <alignment horizontal="center"/>
    </xf>
    <xf numFmtId="0" fontId="0" fillId="0" borderId="42" xfId="0" applyBorder="1"/>
    <xf numFmtId="0" fontId="1" fillId="0" borderId="33" xfId="0" applyFont="1" applyBorder="1" applyAlignment="1">
      <alignment horizontal="center"/>
    </xf>
    <xf numFmtId="0" fontId="3" fillId="2" borderId="10" xfId="0" applyFont="1" applyFill="1" applyBorder="1" applyAlignment="1">
      <alignment horizontal="center" vertical="center" wrapText="1"/>
    </xf>
    <xf numFmtId="0" fontId="1" fillId="2" borderId="34" xfId="0" applyFont="1" applyFill="1" applyBorder="1" applyAlignment="1">
      <alignment horizontal="center"/>
    </xf>
    <xf numFmtId="0" fontId="0" fillId="0" borderId="34" xfId="0" applyBorder="1"/>
    <xf numFmtId="0" fontId="0" fillId="0" borderId="20" xfId="0" applyBorder="1"/>
    <xf numFmtId="0" fontId="1" fillId="0" borderId="28" xfId="0" applyFont="1" applyBorder="1" applyAlignment="1">
      <alignment horizontal="center"/>
    </xf>
    <xf numFmtId="14" fontId="1" fillId="0" borderId="19" xfId="0" applyNumberFormat="1" applyFont="1" applyBorder="1" applyAlignment="1">
      <alignment horizontal="center"/>
    </xf>
    <xf numFmtId="0" fontId="8" fillId="8" borderId="2" xfId="0" applyFont="1" applyFill="1" applyBorder="1" applyAlignment="1">
      <alignment horizontal="center"/>
    </xf>
    <xf numFmtId="0" fontId="0" fillId="0" borderId="13" xfId="0" applyBorder="1"/>
    <xf numFmtId="0" fontId="8" fillId="8" borderId="2" xfId="0" applyFont="1" applyFill="1" applyBorder="1" applyAlignment="1">
      <alignment horizontal="center" vertical="center" wrapText="1"/>
    </xf>
    <xf numFmtId="0" fontId="8" fillId="8" borderId="2" xfId="0" applyFont="1" applyFill="1" applyBorder="1" applyAlignment="1">
      <alignment horizontal="center" vertical="center"/>
    </xf>
    <xf numFmtId="0" fontId="9" fillId="6" borderId="2" xfId="0" applyFont="1" applyFill="1" applyBorder="1" applyAlignment="1">
      <alignment horizontal="center" vertical="center" wrapText="1"/>
    </xf>
    <xf numFmtId="0" fontId="0" fillId="0" borderId="21" xfId="0" applyBorder="1"/>
    <xf numFmtId="0" fontId="8" fillId="6" borderId="2" xfId="0" applyFont="1" applyFill="1" applyBorder="1" applyAlignment="1">
      <alignment horizontal="center" vertical="center" wrapText="1"/>
    </xf>
    <xf numFmtId="0" fontId="8" fillId="7" borderId="1" xfId="0" applyFont="1" applyFill="1" applyBorder="1" applyAlignment="1">
      <alignment horizontal="center" vertical="center" wrapText="1"/>
    </xf>
    <xf numFmtId="0" fontId="8" fillId="6" borderId="1" xfId="0" applyFont="1" applyFill="1" applyBorder="1" applyAlignment="1">
      <alignment horizontal="center" vertical="center" wrapText="1"/>
    </xf>
  </cellXfs>
  <cellStyles count="2">
    <cellStyle name="Normal" xfId="0" builtinId="0"/>
    <cellStyle name="Percent" xfId="1" builtinId="5"/>
  </cellStyles>
  <dxfs count="196">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CCFF"/>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
      <fill>
        <patternFill>
          <bgColor rgb="FFFFFF99"/>
        </patternFill>
      </fill>
    </dxf>
    <dxf>
      <fill>
        <patternFill>
          <bgColor rgb="FFFFFF99"/>
        </patternFill>
      </fill>
    </dxf>
    <dxf>
      <fill>
        <patternFill>
          <bgColor rgb="FFFFCCFF"/>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2"/>
  <dimension ref="A1:AG44"/>
  <sheetViews>
    <sheetView tabSelected="1" zoomScaleNormal="100" workbookViewId="0">
      <pane xSplit="2" ySplit="4" topLeftCell="C5" activePane="bottomRight" state="frozen"/>
      <selection pane="topRight" activeCell="C1" sqref="C1"/>
      <selection pane="bottomLeft" activeCell="A5" sqref="A5"/>
      <selection pane="bottomRight" activeCell="A37" sqref="A37"/>
    </sheetView>
  </sheetViews>
  <sheetFormatPr defaultRowHeight="15" x14ac:dyDescent="0.25"/>
  <cols>
    <col min="2" max="2" width="33.28515625" style="46" bestFit="1" customWidth="1"/>
    <col min="3" max="3" width="10.85546875" style="46" customWidth="1"/>
    <col min="4" max="4" width="10.42578125" style="46" customWidth="1"/>
    <col min="5" max="5" width="8.28515625" style="46" customWidth="1"/>
    <col min="6" max="6" width="9.42578125" style="46" customWidth="1"/>
    <col min="7" max="7" width="8.140625" style="46" customWidth="1"/>
    <col min="8" max="8" width="10" style="46" customWidth="1"/>
    <col min="9" max="9" width="9.140625" style="46" customWidth="1"/>
    <col min="10" max="12" width="9.28515625" style="46" customWidth="1"/>
    <col min="13" max="13" width="26.140625" style="46" customWidth="1"/>
    <col min="14" max="14" width="18.85546875" style="46" customWidth="1"/>
    <col min="15" max="15" width="18.28515625" style="46" customWidth="1"/>
    <col min="16" max="16" width="30.7109375" style="46" customWidth="1"/>
    <col min="17" max="17" width="18.42578125" style="46" customWidth="1"/>
    <col min="18" max="18" width="19.140625" style="46" bestFit="1" customWidth="1"/>
    <col min="19" max="19" width="38" style="46" customWidth="1"/>
    <col min="20" max="20" width="20" style="46" customWidth="1"/>
    <col min="21" max="21" width="21.7109375" style="46" bestFit="1" customWidth="1"/>
    <col min="22" max="22" width="33.42578125" style="46" customWidth="1"/>
    <col min="23" max="23" width="19.5703125" style="46" bestFit="1" customWidth="1"/>
    <col min="24" max="24" width="19.7109375" style="46" bestFit="1" customWidth="1"/>
    <col min="25" max="25" width="36.140625" style="46" bestFit="1" customWidth="1"/>
    <col min="26" max="26" width="24.5703125" style="46" customWidth="1"/>
    <col min="27" max="27" width="20.42578125" style="46" customWidth="1"/>
    <col min="28" max="28" width="50" style="46" bestFit="1" customWidth="1"/>
    <col min="29" max="29" width="17.7109375" style="46" bestFit="1" customWidth="1"/>
    <col min="30" max="30" width="23.5703125" style="46" bestFit="1" customWidth="1"/>
    <col min="31" max="31" width="50" style="46" bestFit="1" customWidth="1"/>
    <col min="32" max="32" width="19.5703125" style="46" bestFit="1" customWidth="1"/>
    <col min="33" max="33" width="21" style="46" bestFit="1" customWidth="1"/>
  </cols>
  <sheetData>
    <row r="1" spans="1:33" ht="15.75" customHeight="1" thickBot="1" x14ac:dyDescent="0.3">
      <c r="A1" s="122">
        <v>44292</v>
      </c>
      <c r="B1" s="123"/>
      <c r="C1" s="115"/>
      <c r="D1" s="116"/>
      <c r="E1" s="116"/>
      <c r="F1" s="116"/>
      <c r="G1" s="116"/>
      <c r="H1" s="116"/>
      <c r="I1" s="116"/>
      <c r="J1" s="116"/>
      <c r="K1" s="116"/>
      <c r="L1" s="116"/>
      <c r="M1" s="28"/>
      <c r="N1" s="17"/>
      <c r="O1" s="17"/>
      <c r="P1" s="17"/>
      <c r="Q1" s="17"/>
      <c r="R1" s="17"/>
      <c r="S1" s="17"/>
      <c r="T1" s="17"/>
      <c r="U1" s="17"/>
      <c r="V1" s="17"/>
      <c r="W1" s="17"/>
      <c r="X1" s="17"/>
    </row>
    <row r="2" spans="1:33" ht="15" customHeight="1" thickBot="1" x14ac:dyDescent="0.3">
      <c r="A2" s="125" t="s">
        <v>0</v>
      </c>
      <c r="B2" s="126"/>
      <c r="C2" s="131">
        <f>A1-1</f>
        <v>44291</v>
      </c>
      <c r="D2" s="132"/>
      <c r="E2" s="131">
        <f>A1</f>
        <v>44292</v>
      </c>
      <c r="F2" s="132"/>
      <c r="G2" s="131">
        <f>A1+1</f>
        <v>44293</v>
      </c>
      <c r="H2" s="132"/>
      <c r="I2" s="131">
        <f>A1+2</f>
        <v>44294</v>
      </c>
      <c r="J2" s="132"/>
      <c r="K2" s="131">
        <f>A1+3</f>
        <v>44295</v>
      </c>
      <c r="L2" s="132"/>
      <c r="M2" s="131">
        <f>A1-1</f>
        <v>44291</v>
      </c>
      <c r="N2" s="139"/>
      <c r="O2" s="132"/>
      <c r="P2" s="131">
        <f>A1</f>
        <v>44292</v>
      </c>
      <c r="Q2" s="139"/>
      <c r="R2" s="132"/>
      <c r="S2" s="131">
        <f>A1+1</f>
        <v>44293</v>
      </c>
      <c r="T2" s="139"/>
      <c r="U2" s="132"/>
      <c r="V2" s="141">
        <f>A1+2</f>
        <v>44294</v>
      </c>
      <c r="W2" s="139"/>
      <c r="X2" s="132"/>
      <c r="Y2" s="141">
        <f>A1+3</f>
        <v>44295</v>
      </c>
      <c r="Z2" s="139"/>
      <c r="AA2" s="132"/>
      <c r="AB2" s="141">
        <f>$A$1+4</f>
        <v>44296</v>
      </c>
      <c r="AC2" s="139"/>
      <c r="AD2" s="132"/>
      <c r="AE2" s="141">
        <f>$A$1+5</f>
        <v>44297</v>
      </c>
      <c r="AF2" s="139"/>
      <c r="AG2" s="132"/>
    </row>
    <row r="3" spans="1:33" ht="15" customHeight="1" x14ac:dyDescent="0.25">
      <c r="A3" s="127"/>
      <c r="B3" s="128"/>
      <c r="C3" s="112" t="s">
        <v>1</v>
      </c>
      <c r="D3" s="114"/>
      <c r="E3" s="140" t="s">
        <v>2</v>
      </c>
      <c r="F3" s="114"/>
      <c r="G3" s="112" t="s">
        <v>2</v>
      </c>
      <c r="H3" s="114"/>
      <c r="I3" s="112" t="s">
        <v>2</v>
      </c>
      <c r="J3" s="114"/>
      <c r="K3" s="112" t="s">
        <v>2</v>
      </c>
      <c r="L3" s="114"/>
      <c r="M3" s="112" t="s">
        <v>3</v>
      </c>
      <c r="N3" s="113"/>
      <c r="O3" s="114"/>
      <c r="P3" s="112" t="s">
        <v>3</v>
      </c>
      <c r="Q3" s="113"/>
      <c r="R3" s="114"/>
      <c r="S3" s="112" t="s">
        <v>3</v>
      </c>
      <c r="T3" s="113"/>
      <c r="U3" s="114"/>
      <c r="V3" s="112" t="s">
        <v>3</v>
      </c>
      <c r="W3" s="113"/>
      <c r="X3" s="114"/>
      <c r="Y3" s="112" t="s">
        <v>3</v>
      </c>
      <c r="Z3" s="113"/>
      <c r="AA3" s="114"/>
      <c r="AB3" s="112" t="s">
        <v>3</v>
      </c>
      <c r="AC3" s="113"/>
      <c r="AD3" s="114"/>
      <c r="AE3" s="112" t="s">
        <v>3</v>
      </c>
      <c r="AF3" s="113"/>
      <c r="AG3" s="114"/>
    </row>
    <row r="4" spans="1:33" ht="15" customHeight="1" x14ac:dyDescent="0.25">
      <c r="A4" s="129"/>
      <c r="B4" s="130"/>
      <c r="C4" s="83" t="s">
        <v>4</v>
      </c>
      <c r="D4" s="84" t="s">
        <v>5</v>
      </c>
      <c r="E4" s="48" t="s">
        <v>4</v>
      </c>
      <c r="F4" s="84" t="s">
        <v>5</v>
      </c>
      <c r="G4" s="83" t="s">
        <v>4</v>
      </c>
      <c r="H4" s="84" t="s">
        <v>5</v>
      </c>
      <c r="I4" s="83" t="s">
        <v>4</v>
      </c>
      <c r="J4" s="84" t="s">
        <v>5</v>
      </c>
      <c r="K4" s="83" t="s">
        <v>4</v>
      </c>
      <c r="L4" s="84" t="s">
        <v>5</v>
      </c>
      <c r="M4" s="83" t="s">
        <v>6</v>
      </c>
      <c r="N4" s="12" t="s">
        <v>7</v>
      </c>
      <c r="O4" s="84" t="s">
        <v>8</v>
      </c>
      <c r="P4" s="83" t="s">
        <v>6</v>
      </c>
      <c r="Q4" s="12" t="s">
        <v>7</v>
      </c>
      <c r="R4" s="84" t="s">
        <v>8</v>
      </c>
      <c r="S4" s="83" t="s">
        <v>6</v>
      </c>
      <c r="T4" s="12" t="s">
        <v>7</v>
      </c>
      <c r="U4" s="84" t="s">
        <v>8</v>
      </c>
      <c r="V4" s="83" t="s">
        <v>6</v>
      </c>
      <c r="W4" s="12" t="s">
        <v>7</v>
      </c>
      <c r="X4" s="84" t="s">
        <v>8</v>
      </c>
      <c r="Y4" s="83" t="s">
        <v>6</v>
      </c>
      <c r="Z4" s="12" t="s">
        <v>7</v>
      </c>
      <c r="AA4" s="84" t="s">
        <v>8</v>
      </c>
      <c r="AB4" s="83" t="s">
        <v>6</v>
      </c>
      <c r="AC4" s="12" t="s">
        <v>7</v>
      </c>
      <c r="AD4" s="84" t="s">
        <v>8</v>
      </c>
      <c r="AE4" s="83" t="s">
        <v>6</v>
      </c>
      <c r="AF4" s="12" t="s">
        <v>7</v>
      </c>
      <c r="AG4" s="84" t="s">
        <v>8</v>
      </c>
    </row>
    <row r="5" spans="1:33" ht="15.75" customHeight="1" thickBot="1" x14ac:dyDescent="0.3">
      <c r="A5" s="124" t="s">
        <v>9</v>
      </c>
      <c r="B5" s="123"/>
      <c r="C5" s="47"/>
      <c r="D5" s="49"/>
      <c r="E5" s="56"/>
      <c r="F5" s="49"/>
      <c r="G5" s="47"/>
      <c r="H5" s="49"/>
      <c r="I5" s="47"/>
      <c r="J5" s="49"/>
      <c r="K5" s="56"/>
      <c r="L5" s="56"/>
      <c r="M5" s="18"/>
      <c r="N5" s="19"/>
      <c r="O5" s="11"/>
      <c r="P5" s="18"/>
      <c r="Q5" s="19"/>
      <c r="R5" s="11"/>
      <c r="S5" s="18"/>
      <c r="T5" s="19"/>
      <c r="U5" s="11"/>
      <c r="V5" s="18"/>
      <c r="W5" s="19"/>
      <c r="X5" s="11"/>
      <c r="Y5" s="18"/>
      <c r="Z5" s="19"/>
      <c r="AA5" s="11"/>
      <c r="AB5" s="18"/>
      <c r="AC5" s="19"/>
      <c r="AD5" s="11"/>
      <c r="AE5" s="82"/>
      <c r="AF5" s="82"/>
      <c r="AG5" s="82"/>
    </row>
    <row r="6" spans="1:33" x14ac:dyDescent="0.25">
      <c r="A6" s="112" t="s">
        <v>10</v>
      </c>
      <c r="B6" s="114"/>
      <c r="C6" s="85"/>
      <c r="D6" s="86"/>
      <c r="E6" s="85"/>
      <c r="F6" s="86"/>
      <c r="G6" s="85"/>
      <c r="H6" s="86"/>
      <c r="I6" s="55"/>
      <c r="J6" s="68"/>
      <c r="K6" s="55"/>
      <c r="L6" s="59"/>
      <c r="M6" s="30"/>
      <c r="N6" s="57"/>
      <c r="O6" s="29"/>
      <c r="P6" s="30"/>
      <c r="Q6" s="57"/>
      <c r="R6" s="29"/>
      <c r="S6" s="30"/>
      <c r="T6" s="57"/>
      <c r="U6" s="29"/>
      <c r="V6" s="30"/>
      <c r="W6" s="57"/>
      <c r="X6" s="29"/>
      <c r="Y6" s="30"/>
      <c r="Z6" s="57"/>
      <c r="AA6" s="29"/>
      <c r="AB6" s="30"/>
      <c r="AC6" s="57"/>
      <c r="AD6" s="29"/>
      <c r="AE6" s="30"/>
      <c r="AF6" s="57"/>
      <c r="AG6" s="29"/>
    </row>
    <row r="7" spans="1:33" x14ac:dyDescent="0.25">
      <c r="A7" s="119" t="s">
        <v>11</v>
      </c>
      <c r="B7" s="120"/>
      <c r="C7" s="87"/>
      <c r="D7" s="88"/>
      <c r="E7" s="87"/>
      <c r="F7" s="88"/>
      <c r="G7" s="87"/>
      <c r="H7" s="88"/>
      <c r="I7" s="22"/>
      <c r="J7" s="21"/>
      <c r="K7" s="67"/>
      <c r="L7" s="44"/>
      <c r="M7" s="22"/>
      <c r="N7" s="21"/>
      <c r="O7" s="23"/>
      <c r="P7" s="22"/>
      <c r="Q7" s="21"/>
      <c r="R7" s="23"/>
      <c r="S7" s="22"/>
      <c r="T7" s="21"/>
      <c r="U7" s="23"/>
      <c r="V7" s="22"/>
      <c r="W7" s="21"/>
      <c r="X7" s="23"/>
      <c r="Y7" s="22"/>
      <c r="Z7" s="21"/>
      <c r="AA7" s="23"/>
      <c r="AB7" s="22"/>
      <c r="AC7" s="21"/>
      <c r="AD7" s="23"/>
      <c r="AE7" s="22"/>
      <c r="AF7" s="21"/>
      <c r="AG7" s="23"/>
    </row>
    <row r="8" spans="1:33" x14ac:dyDescent="0.25">
      <c r="A8" s="121" t="s">
        <v>12</v>
      </c>
      <c r="B8" s="120"/>
      <c r="C8" s="89"/>
      <c r="D8" s="90"/>
      <c r="E8" s="89"/>
      <c r="F8" s="90"/>
      <c r="G8" s="89"/>
      <c r="H8" s="90"/>
      <c r="I8" s="31"/>
      <c r="J8" s="69"/>
      <c r="K8" s="31"/>
      <c r="L8" s="60"/>
      <c r="M8" s="30"/>
      <c r="N8" s="57"/>
      <c r="O8" s="29"/>
      <c r="P8" s="30"/>
      <c r="Q8" s="57"/>
      <c r="R8" s="29"/>
      <c r="S8" s="30"/>
      <c r="T8" s="57"/>
      <c r="U8" s="29"/>
      <c r="V8" s="30"/>
      <c r="W8" s="57"/>
      <c r="X8" s="29"/>
      <c r="Y8" s="30"/>
      <c r="Z8" s="57"/>
      <c r="AA8" s="29"/>
      <c r="AB8" s="30"/>
      <c r="AC8" s="57"/>
      <c r="AD8" s="29"/>
      <c r="AE8" s="30"/>
      <c r="AF8" s="57"/>
      <c r="AG8" s="29"/>
    </row>
    <row r="9" spans="1:33" x14ac:dyDescent="0.25">
      <c r="A9" s="119" t="s">
        <v>13</v>
      </c>
      <c r="B9" s="120"/>
      <c r="C9" s="91"/>
      <c r="D9" s="88"/>
      <c r="E9" s="91"/>
      <c r="F9" s="88"/>
      <c r="G9" s="91"/>
      <c r="H9" s="88"/>
      <c r="I9" s="20"/>
      <c r="J9" s="21"/>
      <c r="K9" s="67"/>
      <c r="L9" s="44"/>
      <c r="M9" s="22"/>
      <c r="N9" s="21"/>
      <c r="O9" s="23"/>
      <c r="P9" s="22"/>
      <c r="Q9" s="21"/>
      <c r="R9" s="23"/>
      <c r="S9" s="22"/>
      <c r="T9" s="21"/>
      <c r="U9" s="23"/>
      <c r="V9" s="22"/>
      <c r="W9" s="21"/>
      <c r="X9" s="23"/>
      <c r="Y9" s="22"/>
      <c r="Z9" s="21"/>
      <c r="AA9" s="23"/>
      <c r="AB9" s="22"/>
      <c r="AC9" s="21"/>
      <c r="AD9" s="23"/>
      <c r="AE9" s="22"/>
      <c r="AF9" s="21"/>
      <c r="AG9" s="23"/>
    </row>
    <row r="10" spans="1:33" ht="15.75" customHeight="1" thickBot="1" x14ac:dyDescent="0.3">
      <c r="A10" s="133" t="s">
        <v>14</v>
      </c>
      <c r="B10" s="134"/>
      <c r="C10" s="92"/>
      <c r="D10" s="93"/>
      <c r="E10" s="92"/>
      <c r="F10" s="93"/>
      <c r="G10" s="92"/>
      <c r="H10" s="93"/>
      <c r="I10" s="75"/>
      <c r="J10" s="74"/>
      <c r="K10" s="75"/>
      <c r="L10" s="61"/>
      <c r="M10" s="30"/>
      <c r="N10" s="57"/>
      <c r="O10" s="29"/>
      <c r="P10" s="30"/>
      <c r="Q10" s="57"/>
      <c r="R10" s="29"/>
      <c r="S10" s="30"/>
      <c r="T10" s="57"/>
      <c r="U10" s="29"/>
      <c r="V10" s="30"/>
      <c r="W10" s="57"/>
      <c r="X10" s="29"/>
      <c r="Y10" s="30"/>
      <c r="Z10" s="57"/>
      <c r="AA10" s="29"/>
      <c r="AB10" s="30"/>
      <c r="AC10" s="57"/>
      <c r="AD10" s="29"/>
      <c r="AE10" s="30"/>
      <c r="AF10" s="57"/>
      <c r="AG10" s="29"/>
    </row>
    <row r="11" spans="1:33" ht="15.75" customHeight="1" thickBot="1" x14ac:dyDescent="0.3">
      <c r="A11" s="135" t="s">
        <v>15</v>
      </c>
      <c r="B11" s="128"/>
      <c r="C11" s="94"/>
      <c r="D11" s="94"/>
      <c r="E11" s="94"/>
      <c r="F11" s="94"/>
      <c r="G11" s="94"/>
      <c r="H11" s="94"/>
      <c r="M11" s="109"/>
      <c r="N11" s="110"/>
      <c r="O11" s="111"/>
      <c r="P11" s="109"/>
      <c r="Q11" s="110"/>
      <c r="R11" s="111"/>
      <c r="S11" s="109"/>
      <c r="T11" s="110"/>
      <c r="U11" s="111"/>
      <c r="V11" s="109"/>
      <c r="W11" s="110"/>
      <c r="X11" s="111"/>
      <c r="Y11" s="109"/>
      <c r="Z11" s="110"/>
      <c r="AA11" s="111"/>
      <c r="AB11" s="109"/>
      <c r="AC11" s="110"/>
      <c r="AD11" s="111"/>
      <c r="AE11" s="109"/>
      <c r="AF11" s="110"/>
      <c r="AG11" s="111"/>
    </row>
    <row r="12" spans="1:33" ht="28.5" customHeight="1" thickBot="1" x14ac:dyDescent="0.3">
      <c r="A12" s="136" t="s">
        <v>16</v>
      </c>
      <c r="B12" s="134"/>
      <c r="C12" s="95"/>
      <c r="D12" s="95"/>
      <c r="E12" s="95"/>
      <c r="F12" s="95"/>
      <c r="G12" s="95"/>
      <c r="H12" s="95"/>
      <c r="I12" s="65"/>
      <c r="J12" s="65"/>
      <c r="K12" s="70"/>
      <c r="L12" s="70"/>
      <c r="M12" s="39"/>
      <c r="N12" s="24"/>
      <c r="O12" s="25"/>
      <c r="P12" s="39"/>
      <c r="Q12" s="24"/>
      <c r="R12" s="25"/>
      <c r="S12" s="39"/>
      <c r="T12" s="24"/>
      <c r="U12" s="25"/>
      <c r="V12" s="39"/>
      <c r="W12" s="24"/>
      <c r="X12" s="25"/>
      <c r="Y12" s="39"/>
      <c r="Z12" s="24"/>
      <c r="AA12" s="25"/>
      <c r="AB12" s="39"/>
      <c r="AC12" s="24"/>
      <c r="AD12" s="25"/>
      <c r="AE12" s="39"/>
      <c r="AF12" s="24"/>
      <c r="AG12" s="25"/>
    </row>
    <row r="13" spans="1:33" ht="15.75" customHeight="1" thickBot="1" x14ac:dyDescent="0.3">
      <c r="A13" s="137" t="s">
        <v>17</v>
      </c>
      <c r="B13" s="138"/>
      <c r="C13" s="96"/>
      <c r="D13" s="97"/>
      <c r="E13" s="96"/>
      <c r="F13" s="97"/>
      <c r="G13" s="96"/>
      <c r="H13" s="97"/>
      <c r="I13" s="64"/>
      <c r="J13" s="63"/>
      <c r="K13" s="80"/>
      <c r="L13" s="81"/>
      <c r="M13" s="22"/>
      <c r="N13" s="21"/>
      <c r="O13" s="23"/>
      <c r="P13" s="22"/>
      <c r="Q13" s="21"/>
      <c r="R13" s="23"/>
      <c r="S13" s="22"/>
      <c r="T13" s="21"/>
      <c r="U13" s="23"/>
      <c r="V13" s="22"/>
      <c r="W13" s="21"/>
      <c r="X13" s="23"/>
      <c r="Y13" s="22"/>
      <c r="Z13" s="21"/>
      <c r="AA13" s="23"/>
      <c r="AB13" s="22"/>
      <c r="AC13" s="21"/>
      <c r="AD13" s="23"/>
      <c r="AE13" s="22"/>
      <c r="AF13" s="21"/>
      <c r="AG13" s="23"/>
    </row>
    <row r="14" spans="1:33" x14ac:dyDescent="0.25">
      <c r="A14" s="112" t="s">
        <v>18</v>
      </c>
      <c r="B14" s="114"/>
      <c r="C14" s="98"/>
      <c r="D14" s="99"/>
      <c r="E14" s="98"/>
      <c r="F14" s="99"/>
      <c r="G14" s="98"/>
      <c r="H14" s="99"/>
      <c r="I14" s="43"/>
      <c r="J14" s="59"/>
      <c r="K14" s="76"/>
      <c r="L14" s="71"/>
      <c r="M14" s="30"/>
      <c r="N14" s="57"/>
      <c r="O14" s="29"/>
      <c r="P14" s="30"/>
      <c r="Q14" s="57"/>
      <c r="R14" s="29"/>
      <c r="S14" s="30"/>
      <c r="T14" s="57"/>
      <c r="U14" s="29"/>
      <c r="V14" s="30"/>
      <c r="W14" s="57"/>
      <c r="X14" s="29"/>
      <c r="Y14" s="30"/>
      <c r="Z14" s="57"/>
      <c r="AA14" s="29"/>
      <c r="AB14" s="30"/>
      <c r="AC14" s="57"/>
      <c r="AD14" s="29"/>
      <c r="AE14" s="30"/>
      <c r="AF14" s="57"/>
      <c r="AG14" s="29"/>
    </row>
    <row r="15" spans="1:33" x14ac:dyDescent="0.25">
      <c r="A15" s="119" t="s">
        <v>19</v>
      </c>
      <c r="B15" s="120"/>
      <c r="C15" s="100"/>
      <c r="D15" s="101"/>
      <c r="E15" s="100"/>
      <c r="F15" s="101"/>
      <c r="G15" s="100"/>
      <c r="H15" s="101"/>
      <c r="I15" s="42"/>
      <c r="J15" s="44"/>
      <c r="K15" s="77"/>
      <c r="L15" s="72"/>
      <c r="M15" s="22"/>
      <c r="N15" s="21"/>
      <c r="O15" s="23"/>
      <c r="P15" s="22"/>
      <c r="Q15" s="21"/>
      <c r="R15" s="23"/>
      <c r="S15" s="22"/>
      <c r="T15" s="21"/>
      <c r="U15" s="23"/>
      <c r="V15" s="22"/>
      <c r="W15" s="21"/>
      <c r="X15" s="23"/>
      <c r="Y15" s="22"/>
      <c r="Z15" s="21"/>
      <c r="AA15" s="23"/>
      <c r="AB15" s="22"/>
      <c r="AC15" s="21"/>
      <c r="AD15" s="23"/>
      <c r="AE15" s="22"/>
      <c r="AF15" s="21"/>
      <c r="AG15" s="23"/>
    </row>
    <row r="16" spans="1:33" x14ac:dyDescent="0.25">
      <c r="A16" s="121" t="s">
        <v>20</v>
      </c>
      <c r="B16" s="120"/>
      <c r="C16" s="102"/>
      <c r="D16" s="103"/>
      <c r="E16" s="102"/>
      <c r="F16" s="103"/>
      <c r="G16" s="102"/>
      <c r="H16" s="103"/>
      <c r="I16" s="41"/>
      <c r="J16" s="60"/>
      <c r="K16" s="78"/>
      <c r="L16" s="73"/>
      <c r="M16" s="30"/>
      <c r="N16" s="57"/>
      <c r="O16" s="29"/>
      <c r="P16" s="30"/>
      <c r="Q16" s="57"/>
      <c r="R16" s="29"/>
      <c r="S16" s="30"/>
      <c r="T16" s="57"/>
      <c r="U16" s="29"/>
      <c r="V16" s="30"/>
      <c r="W16" s="57"/>
      <c r="X16" s="29"/>
      <c r="Y16" s="30"/>
      <c r="Z16" s="57"/>
      <c r="AA16" s="29"/>
      <c r="AB16" s="30"/>
      <c r="AC16" s="57"/>
      <c r="AD16" s="29"/>
      <c r="AE16" s="30"/>
      <c r="AF16" s="57"/>
      <c r="AG16" s="29"/>
    </row>
    <row r="17" spans="1:33" x14ac:dyDescent="0.25">
      <c r="A17" s="119" t="s">
        <v>21</v>
      </c>
      <c r="B17" s="120"/>
      <c r="C17" s="100"/>
      <c r="D17" s="101"/>
      <c r="E17" s="100"/>
      <c r="F17" s="101"/>
      <c r="G17" s="100"/>
      <c r="H17" s="101"/>
      <c r="I17" s="42"/>
      <c r="J17" s="44"/>
      <c r="K17" s="77"/>
      <c r="L17" s="72"/>
      <c r="M17" s="22"/>
      <c r="N17" s="21"/>
      <c r="O17" s="23"/>
      <c r="P17" s="22"/>
      <c r="Q17" s="21"/>
      <c r="R17" s="23"/>
      <c r="S17" s="22"/>
      <c r="T17" s="21"/>
      <c r="U17" s="23"/>
      <c r="V17" s="22"/>
      <c r="W17" s="21"/>
      <c r="X17" s="23"/>
      <c r="Y17" s="22"/>
      <c r="Z17" s="21"/>
      <c r="AA17" s="23"/>
      <c r="AB17" s="22"/>
      <c r="AC17" s="21"/>
      <c r="AD17" s="23"/>
      <c r="AE17" s="22"/>
      <c r="AF17" s="21"/>
      <c r="AG17" s="23"/>
    </row>
    <row r="18" spans="1:33" x14ac:dyDescent="0.25">
      <c r="A18" s="121" t="s">
        <v>22</v>
      </c>
      <c r="B18" s="120"/>
      <c r="C18" s="102"/>
      <c r="D18" s="103"/>
      <c r="E18" s="102"/>
      <c r="F18" s="103"/>
      <c r="G18" s="102"/>
      <c r="H18" s="103"/>
      <c r="I18" s="41"/>
      <c r="J18" s="60"/>
      <c r="K18" s="78"/>
      <c r="L18" s="73"/>
      <c r="M18" s="30"/>
      <c r="N18" s="57"/>
      <c r="O18" s="29"/>
      <c r="P18" s="30"/>
      <c r="Q18" s="57"/>
      <c r="R18" s="29"/>
      <c r="S18" s="30"/>
      <c r="T18" s="57"/>
      <c r="U18" s="29"/>
      <c r="V18" s="30"/>
      <c r="W18" s="57"/>
      <c r="X18" s="29"/>
      <c r="Y18" s="30"/>
      <c r="Z18" s="57"/>
      <c r="AA18" s="29"/>
      <c r="AB18" s="30"/>
      <c r="AC18" s="57"/>
      <c r="AD18" s="29"/>
      <c r="AE18" s="30"/>
      <c r="AF18" s="57"/>
      <c r="AG18" s="29"/>
    </row>
    <row r="19" spans="1:33" x14ac:dyDescent="0.25">
      <c r="A19" s="119" t="s">
        <v>23</v>
      </c>
      <c r="B19" s="120"/>
      <c r="C19" s="100"/>
      <c r="D19" s="101"/>
      <c r="E19" s="100"/>
      <c r="F19" s="101"/>
      <c r="G19" s="100"/>
      <c r="H19" s="101"/>
      <c r="I19" s="42"/>
      <c r="J19" s="44"/>
      <c r="K19" s="72"/>
      <c r="L19" s="72"/>
      <c r="M19" s="22"/>
      <c r="N19" s="21"/>
      <c r="O19" s="23"/>
      <c r="P19" s="22"/>
      <c r="Q19" s="21"/>
      <c r="R19" s="23"/>
      <c r="S19" s="22"/>
      <c r="T19" s="21"/>
      <c r="U19" s="23"/>
      <c r="V19" s="22"/>
      <c r="W19" s="21"/>
      <c r="X19" s="23"/>
      <c r="Y19" s="22"/>
      <c r="Z19" s="21"/>
      <c r="AA19" s="23"/>
      <c r="AB19" s="22"/>
      <c r="AC19" s="21"/>
      <c r="AD19" s="23"/>
      <c r="AE19" s="22"/>
      <c r="AF19" s="21"/>
      <c r="AG19" s="23"/>
    </row>
    <row r="20" spans="1:33" ht="15.75" customHeight="1" thickBot="1" x14ac:dyDescent="0.3">
      <c r="A20" s="133" t="s">
        <v>24</v>
      </c>
      <c r="B20" s="134"/>
      <c r="C20" s="104"/>
      <c r="D20" s="105"/>
      <c r="E20" s="104"/>
      <c r="F20" s="105"/>
      <c r="G20" s="104"/>
      <c r="H20" s="105"/>
      <c r="I20" s="45"/>
      <c r="J20" s="61"/>
      <c r="K20" s="79"/>
      <c r="L20" s="74"/>
      <c r="M20" s="30"/>
      <c r="N20" s="57"/>
      <c r="O20" s="29"/>
      <c r="P20" s="30"/>
      <c r="Q20" s="57"/>
      <c r="R20" s="29"/>
      <c r="S20" s="30"/>
      <c r="T20" s="57"/>
      <c r="U20" s="29"/>
      <c r="V20" s="30"/>
      <c r="W20" s="57"/>
      <c r="X20" s="29"/>
      <c r="Y20" s="30"/>
      <c r="Z20" s="57"/>
      <c r="AA20" s="29"/>
      <c r="AB20" s="30"/>
      <c r="AC20" s="57"/>
      <c r="AD20" s="29"/>
      <c r="AE20" s="30"/>
      <c r="AF20" s="57"/>
      <c r="AG20" s="29"/>
    </row>
    <row r="21" spans="1:33" x14ac:dyDescent="0.25">
      <c r="A21" s="117"/>
      <c r="B21" s="118"/>
      <c r="C21" s="16"/>
      <c r="D21" s="16"/>
      <c r="E21" s="16"/>
      <c r="F21" s="15"/>
      <c r="G21" s="15"/>
      <c r="H21" s="15"/>
      <c r="I21" s="15"/>
      <c r="J21" s="15"/>
      <c r="K21" s="15"/>
      <c r="L21" s="15"/>
      <c r="M21" s="16"/>
      <c r="N21" s="16"/>
      <c r="O21" s="16"/>
      <c r="P21" s="13"/>
      <c r="Q21" s="14"/>
      <c r="R21" s="16"/>
      <c r="S21" s="16"/>
      <c r="T21" s="16"/>
    </row>
    <row r="22" spans="1:33" x14ac:dyDescent="0.25">
      <c r="A22" s="117"/>
      <c r="B22" s="118"/>
      <c r="C22" s="16"/>
      <c r="D22" s="16"/>
      <c r="E22" s="16"/>
      <c r="F22" s="16"/>
      <c r="G22" s="16"/>
      <c r="H22" s="16"/>
      <c r="I22" s="16"/>
      <c r="J22" s="16"/>
      <c r="K22" s="16"/>
      <c r="L22" s="16"/>
      <c r="M22" s="16"/>
      <c r="N22" s="16"/>
      <c r="O22" s="16"/>
      <c r="P22" s="13"/>
      <c r="Q22" s="14"/>
      <c r="R22" s="16"/>
      <c r="S22" s="16"/>
      <c r="T22" s="16"/>
    </row>
    <row r="23" spans="1:33" x14ac:dyDescent="0.25">
      <c r="A23" s="117"/>
      <c r="B23" s="118"/>
      <c r="C23" s="16"/>
      <c r="D23" s="16"/>
      <c r="E23" s="16"/>
      <c r="F23" s="16"/>
      <c r="G23" s="16"/>
      <c r="H23" s="16"/>
      <c r="I23" s="16"/>
      <c r="J23" s="16"/>
      <c r="K23" s="16"/>
      <c r="L23" s="16"/>
      <c r="M23" s="16"/>
      <c r="N23" s="16"/>
      <c r="O23" s="16"/>
      <c r="P23" s="13"/>
      <c r="Q23" s="14"/>
      <c r="R23" s="16"/>
      <c r="S23" s="16"/>
      <c r="T23" s="16"/>
    </row>
    <row r="24" spans="1:33" x14ac:dyDescent="0.25">
      <c r="A24" s="117"/>
      <c r="B24" s="118"/>
      <c r="C24" s="16"/>
      <c r="D24" s="16"/>
      <c r="E24" s="16"/>
      <c r="F24" s="16"/>
      <c r="G24" s="16"/>
      <c r="H24" s="16"/>
      <c r="I24" s="16"/>
      <c r="J24" s="16"/>
      <c r="K24" s="16"/>
      <c r="L24" s="16"/>
      <c r="M24" s="16"/>
      <c r="N24" s="16"/>
      <c r="O24" s="16"/>
      <c r="P24" s="13"/>
      <c r="Q24" s="14"/>
      <c r="R24" s="16"/>
      <c r="S24" s="16"/>
      <c r="T24" s="16"/>
    </row>
    <row r="25" spans="1:33" x14ac:dyDescent="0.25">
      <c r="A25" s="117"/>
      <c r="B25" s="118"/>
      <c r="C25" s="16"/>
      <c r="D25" s="16"/>
      <c r="E25" s="16"/>
      <c r="F25" s="16"/>
      <c r="G25" s="16"/>
      <c r="H25" s="16"/>
      <c r="I25" s="16"/>
      <c r="J25" s="16"/>
      <c r="K25" s="16"/>
      <c r="L25" s="16"/>
      <c r="M25" s="16"/>
      <c r="N25" s="16"/>
      <c r="O25" s="16"/>
      <c r="P25" s="13"/>
      <c r="Q25" s="14"/>
      <c r="R25" s="16"/>
      <c r="S25" s="16"/>
      <c r="T25" s="16"/>
    </row>
    <row r="27" spans="1:33" x14ac:dyDescent="0.25">
      <c r="B27" s="2"/>
    </row>
    <row r="28" spans="1:33" x14ac:dyDescent="0.25">
      <c r="B28" s="3"/>
    </row>
    <row r="29" spans="1:33" x14ac:dyDescent="0.25">
      <c r="B29" s="2"/>
    </row>
    <row r="30" spans="1:33" x14ac:dyDescent="0.25">
      <c r="C30"/>
      <c r="D30"/>
      <c r="E30"/>
    </row>
    <row r="31" spans="1:33" x14ac:dyDescent="0.25">
      <c r="C31"/>
      <c r="D31"/>
      <c r="E31"/>
    </row>
    <row r="32" spans="1:33" x14ac:dyDescent="0.25">
      <c r="C32"/>
      <c r="D32"/>
      <c r="E32"/>
    </row>
    <row r="33" spans="3:5" x14ac:dyDescent="0.25">
      <c r="C33"/>
      <c r="D33"/>
      <c r="E33"/>
    </row>
    <row r="34" spans="3:5" x14ac:dyDescent="0.25">
      <c r="C34"/>
      <c r="D34"/>
      <c r="E34"/>
    </row>
    <row r="35" spans="3:5" x14ac:dyDescent="0.25">
      <c r="C35"/>
      <c r="D35"/>
      <c r="E35"/>
    </row>
    <row r="36" spans="3:5" x14ac:dyDescent="0.25">
      <c r="C36"/>
      <c r="D36"/>
      <c r="E36"/>
    </row>
    <row r="37" spans="3:5" x14ac:dyDescent="0.25">
      <c r="C37"/>
      <c r="D37"/>
      <c r="E37"/>
    </row>
    <row r="38" spans="3:5" x14ac:dyDescent="0.25">
      <c r="C38"/>
      <c r="D38"/>
      <c r="E38"/>
    </row>
    <row r="39" spans="3:5" x14ac:dyDescent="0.25">
      <c r="C39"/>
      <c r="D39"/>
      <c r="E39"/>
    </row>
    <row r="40" spans="3:5" x14ac:dyDescent="0.25">
      <c r="C40"/>
      <c r="E40"/>
    </row>
    <row r="41" spans="3:5" x14ac:dyDescent="0.25">
      <c r="C41"/>
      <c r="E41"/>
    </row>
    <row r="42" spans="3:5" x14ac:dyDescent="0.25">
      <c r="C42"/>
      <c r="E42"/>
    </row>
    <row r="43" spans="3:5" x14ac:dyDescent="0.25">
      <c r="C43"/>
      <c r="E43"/>
    </row>
    <row r="44" spans="3:5" x14ac:dyDescent="0.25">
      <c r="C44"/>
      <c r="E44"/>
    </row>
  </sheetData>
  <mergeCells count="55">
    <mergeCell ref="Y11:AA11"/>
    <mergeCell ref="AE11:AG11"/>
    <mergeCell ref="AE2:AG2"/>
    <mergeCell ref="AE3:AG3"/>
    <mergeCell ref="P11:R11"/>
    <mergeCell ref="S11:U11"/>
    <mergeCell ref="AB2:AD2"/>
    <mergeCell ref="AB3:AD3"/>
    <mergeCell ref="AB11:AD11"/>
    <mergeCell ref="Y2:AA2"/>
    <mergeCell ref="Y3:AA3"/>
    <mergeCell ref="V2:X2"/>
    <mergeCell ref="V3:X3"/>
    <mergeCell ref="S2:U2"/>
    <mergeCell ref="S3:U3"/>
    <mergeCell ref="P2:R2"/>
    <mergeCell ref="C3:D3"/>
    <mergeCell ref="I2:J2"/>
    <mergeCell ref="I3:J3"/>
    <mergeCell ref="E2:F2"/>
    <mergeCell ref="K2:L2"/>
    <mergeCell ref="K3:L3"/>
    <mergeCell ref="M2:O2"/>
    <mergeCell ref="M3:O3"/>
    <mergeCell ref="E3:F3"/>
    <mergeCell ref="G2:H2"/>
    <mergeCell ref="G3:H3"/>
    <mergeCell ref="A8:B8"/>
    <mergeCell ref="A10:B10"/>
    <mergeCell ref="A14:B14"/>
    <mergeCell ref="A15:B15"/>
    <mergeCell ref="A25:B25"/>
    <mergeCell ref="A20:B20"/>
    <mergeCell ref="A21:B21"/>
    <mergeCell ref="A22:B22"/>
    <mergeCell ref="A23:B23"/>
    <mergeCell ref="A11:B11"/>
    <mergeCell ref="A12:B12"/>
    <mergeCell ref="A13:B13"/>
    <mergeCell ref="M11:O11"/>
    <mergeCell ref="P3:R3"/>
    <mergeCell ref="V11:X11"/>
    <mergeCell ref="C1:L1"/>
    <mergeCell ref="A24:B24"/>
    <mergeCell ref="A19:B19"/>
    <mergeCell ref="A16:B16"/>
    <mergeCell ref="A17:B17"/>
    <mergeCell ref="A18:B18"/>
    <mergeCell ref="A1:B1"/>
    <mergeCell ref="A5:B5"/>
    <mergeCell ref="A7:B7"/>
    <mergeCell ref="A9:B9"/>
    <mergeCell ref="A2:B4"/>
    <mergeCell ref="C2:D2"/>
    <mergeCell ref="A6:B6"/>
  </mergeCells>
  <dataValidations count="5">
    <dataValidation type="list" showInputMessage="1" showErrorMessage="1" sqref="Q21:Q25" xr:uid="{00000000-0002-0000-0000-000000000000}">
      <formula1>$A$3:$A$25</formula1>
    </dataValidation>
    <dataValidation showInputMessage="1" showErrorMessage="1" sqref="C20:L20 C6:L10 C14:L18" xr:uid="{00000000-0002-0000-0000-000001000000}"/>
    <dataValidation type="list" showInputMessage="1" showErrorMessage="1" sqref="V14 AB20 Y20 V20 AB8 Y8 V8 AB18 Y18 V18 AB10 Y10 V10 AB16 Y16 V16 AB6 Y6 V6 AB14 Y14 S6 S20 S14 S16 S8 S10 P20 M20 P18 M18 P16 M16 P14 P10 M14 M10 P8 M8 M6 P6 S18" xr:uid="{00000000-0002-0000-0000-000002000000}">
      <formula1>$C$30:$C$44</formula1>
    </dataValidation>
    <dataValidation type="list" showInputMessage="1" showErrorMessage="1" sqref="W14 AC20 Z20 W20 AC8 Z8 W8 AC18 Z18 W18 AC10 Z10 W10 AC16 Z16 W16 AC6 Z6 W6 AC14 Z14 T10 T8 T18 T16 N6 T14 T6 Q18 N20 N18 Q16 N16 Q10 Q20 Q14 N14 N10 Q8 N8 Q6 T20" xr:uid="{00000000-0002-0000-0000-000008000000}">
      <formula1>$D$30:$D$44</formula1>
    </dataValidation>
    <dataValidation type="list" showInputMessage="1" showErrorMessage="1" sqref="X14 AD20 AA20 X20 AD8 AA8 X8 AD18 AA18 X18 AD10 AA10 X10 AD16 AA16 X16 AD6 AA6 X6 AD14 AA14 O20 U20 U18 U16 U8 U14 U6 R18 R20 O18 O16 O6 U10 R14 O14 R10 O10 R8 O8 R6 R16" xr:uid="{00000000-0002-0000-0000-00000E000000}">
      <formula1>$E$30:$E$44</formula1>
    </dataValidation>
  </dataValidations>
  <pageMargins left="0.511811024" right="0.511811024" top="0.78740157499999996" bottom="0.78740157499999996" header="0.31496062000000002" footer="0.31496062000000002"/>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3"/>
  <dimension ref="A1:D17"/>
  <sheetViews>
    <sheetView workbookViewId="0">
      <selection activeCell="A37" sqref="A37"/>
    </sheetView>
  </sheetViews>
  <sheetFormatPr defaultRowHeight="15" x14ac:dyDescent="0.25"/>
  <cols>
    <col min="1" max="1" width="51.7109375" style="46" customWidth="1"/>
    <col min="2" max="2" width="34.7109375" style="46" bestFit="1" customWidth="1"/>
    <col min="3" max="3" width="30.140625" style="46" customWidth="1"/>
    <col min="4" max="4" width="49" style="46" bestFit="1" customWidth="1"/>
  </cols>
  <sheetData>
    <row r="1" spans="1:4" x14ac:dyDescent="0.25">
      <c r="A1" s="1" t="s">
        <v>6</v>
      </c>
      <c r="B1" s="1" t="s">
        <v>7</v>
      </c>
      <c r="C1" s="1" t="s">
        <v>65</v>
      </c>
      <c r="D1" s="1" t="s">
        <v>8</v>
      </c>
    </row>
    <row r="3" spans="1:4" x14ac:dyDescent="0.25">
      <c r="A3" t="s">
        <v>25</v>
      </c>
      <c r="B3" t="s">
        <v>26</v>
      </c>
      <c r="C3" t="s">
        <v>66</v>
      </c>
      <c r="D3" t="s">
        <v>27</v>
      </c>
    </row>
    <row r="4" spans="1:4" x14ac:dyDescent="0.25">
      <c r="A4" t="s">
        <v>28</v>
      </c>
      <c r="B4" t="s">
        <v>29</v>
      </c>
      <c r="C4" t="s">
        <v>67</v>
      </c>
      <c r="D4" t="s">
        <v>30</v>
      </c>
    </row>
    <row r="5" spans="1:4" x14ac:dyDescent="0.25">
      <c r="A5" t="s">
        <v>31</v>
      </c>
      <c r="B5" t="s">
        <v>32</v>
      </c>
      <c r="C5" t="s">
        <v>68</v>
      </c>
      <c r="D5" t="s">
        <v>33</v>
      </c>
    </row>
    <row r="6" spans="1:4" x14ac:dyDescent="0.25">
      <c r="A6" t="s">
        <v>34</v>
      </c>
      <c r="B6" t="s">
        <v>35</v>
      </c>
      <c r="D6" t="s">
        <v>36</v>
      </c>
    </row>
    <row r="7" spans="1:4" x14ac:dyDescent="0.25">
      <c r="A7" t="s">
        <v>37</v>
      </c>
      <c r="B7" t="s">
        <v>38</v>
      </c>
      <c r="D7" t="s">
        <v>39</v>
      </c>
    </row>
    <row r="8" spans="1:4" x14ac:dyDescent="0.25">
      <c r="A8" t="s">
        <v>40</v>
      </c>
      <c r="B8" t="s">
        <v>41</v>
      </c>
      <c r="D8" t="s">
        <v>42</v>
      </c>
    </row>
    <row r="9" spans="1:4" x14ac:dyDescent="0.25">
      <c r="A9" t="s">
        <v>43</v>
      </c>
      <c r="B9" t="s">
        <v>44</v>
      </c>
      <c r="D9" t="s">
        <v>45</v>
      </c>
    </row>
    <row r="10" spans="1:4" x14ac:dyDescent="0.25">
      <c r="A10" t="s">
        <v>46</v>
      </c>
      <c r="B10" t="s">
        <v>47</v>
      </c>
      <c r="D10" t="s">
        <v>48</v>
      </c>
    </row>
    <row r="11" spans="1:4" x14ac:dyDescent="0.25">
      <c r="A11" t="s">
        <v>49</v>
      </c>
      <c r="B11" t="s">
        <v>50</v>
      </c>
      <c r="D11" t="s">
        <v>51</v>
      </c>
    </row>
    <row r="12" spans="1:4" x14ac:dyDescent="0.25">
      <c r="A12" t="s">
        <v>52</v>
      </c>
      <c r="B12" t="s">
        <v>53</v>
      </c>
      <c r="D12" t="s">
        <v>54</v>
      </c>
    </row>
    <row r="13" spans="1:4" x14ac:dyDescent="0.25">
      <c r="A13" t="s">
        <v>55</v>
      </c>
      <c r="D13" t="s">
        <v>56</v>
      </c>
    </row>
    <row r="14" spans="1:4" x14ac:dyDescent="0.25">
      <c r="A14" t="s">
        <v>57</v>
      </c>
      <c r="D14" t="s">
        <v>58</v>
      </c>
    </row>
    <row r="15" spans="1:4" x14ac:dyDescent="0.25">
      <c r="A15" t="s">
        <v>59</v>
      </c>
      <c r="D15" t="s">
        <v>60</v>
      </c>
    </row>
    <row r="16" spans="1:4" x14ac:dyDescent="0.25">
      <c r="A16" t="s">
        <v>61</v>
      </c>
      <c r="D16" t="s">
        <v>62</v>
      </c>
    </row>
    <row r="17" spans="1:4" x14ac:dyDescent="0.25">
      <c r="A17" t="s">
        <v>63</v>
      </c>
      <c r="D17" t="s">
        <v>64</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
  <dimension ref="A1:F29"/>
  <sheetViews>
    <sheetView workbookViewId="0">
      <selection activeCell="D17" sqref="D17"/>
    </sheetView>
  </sheetViews>
  <sheetFormatPr defaultRowHeight="15" x14ac:dyDescent="0.25"/>
  <cols>
    <col min="1" max="1" width="10.42578125" style="46" customWidth="1"/>
    <col min="2" max="2" width="16.5703125" style="54" customWidth="1"/>
    <col min="3" max="3" width="11.5703125" style="16" bestFit="1" customWidth="1"/>
    <col min="4" max="4" width="15.42578125" style="16" bestFit="1" customWidth="1"/>
    <col min="5" max="5" width="12.5703125" style="16" bestFit="1" customWidth="1"/>
  </cols>
  <sheetData>
    <row r="1" spans="1:6" x14ac:dyDescent="0.25">
      <c r="B1" s="51"/>
      <c r="C1" s="4"/>
      <c r="D1" s="5">
        <f>Tabela!A1-1</f>
        <v>44291</v>
      </c>
      <c r="E1" s="6">
        <v>44098</v>
      </c>
    </row>
    <row r="2" spans="1:6" x14ac:dyDescent="0.25">
      <c r="A2" t="s">
        <v>69</v>
      </c>
      <c r="B2" s="52" t="s">
        <v>70</v>
      </c>
      <c r="C2" s="7" t="s">
        <v>71</v>
      </c>
      <c r="D2" s="8" t="s">
        <v>72</v>
      </c>
      <c r="E2" s="50" t="s">
        <v>73</v>
      </c>
      <c r="F2" t="s">
        <v>74</v>
      </c>
    </row>
    <row r="3" spans="1:6" x14ac:dyDescent="0.25">
      <c r="A3">
        <v>1</v>
      </c>
      <c r="B3" s="52" t="s">
        <v>75</v>
      </c>
      <c r="C3" s="7" t="s">
        <v>76</v>
      </c>
      <c r="D3" s="8" t="s">
        <v>77</v>
      </c>
      <c r="E3" s="50">
        <v>0.51</v>
      </c>
      <c r="F3">
        <v>0</v>
      </c>
    </row>
    <row r="4" spans="1:6" x14ac:dyDescent="0.25">
      <c r="A4">
        <v>2</v>
      </c>
      <c r="B4" s="52" t="s">
        <v>78</v>
      </c>
      <c r="C4" s="7" t="s">
        <v>79</v>
      </c>
      <c r="D4" s="62" t="s">
        <v>80</v>
      </c>
      <c r="E4" s="50">
        <v>0.48</v>
      </c>
      <c r="F4">
        <v>3.2</v>
      </c>
    </row>
    <row r="5" spans="1:6" x14ac:dyDescent="0.25">
      <c r="A5">
        <v>3</v>
      </c>
      <c r="B5" s="52" t="s">
        <v>81</v>
      </c>
      <c r="C5" s="7" t="s">
        <v>82</v>
      </c>
      <c r="D5" s="8" t="s">
        <v>83</v>
      </c>
      <c r="E5" s="50">
        <v>0.62</v>
      </c>
      <c r="F5">
        <v>29.3</v>
      </c>
    </row>
    <row r="6" spans="1:6" x14ac:dyDescent="0.25">
      <c r="A6">
        <v>4</v>
      </c>
      <c r="B6" s="52" t="s">
        <v>84</v>
      </c>
      <c r="C6" s="7" t="s">
        <v>85</v>
      </c>
      <c r="D6" s="8" t="s">
        <v>86</v>
      </c>
      <c r="E6" s="50">
        <v>0.66</v>
      </c>
      <c r="F6">
        <v>25.7</v>
      </c>
    </row>
    <row r="7" spans="1:6" x14ac:dyDescent="0.25">
      <c r="A7">
        <v>5</v>
      </c>
      <c r="B7" s="52" t="s">
        <v>87</v>
      </c>
      <c r="C7" s="7" t="s">
        <v>88</v>
      </c>
      <c r="D7" s="8" t="s">
        <v>89</v>
      </c>
      <c r="E7" s="50">
        <v>0.42</v>
      </c>
      <c r="F7">
        <v>0</v>
      </c>
    </row>
    <row r="8" spans="1:6" x14ac:dyDescent="0.25">
      <c r="A8">
        <v>6</v>
      </c>
      <c r="B8" s="52" t="s">
        <v>90</v>
      </c>
      <c r="C8" s="7" t="s">
        <v>91</v>
      </c>
      <c r="D8" s="8" t="s">
        <v>92</v>
      </c>
      <c r="E8" s="50">
        <v>0.39</v>
      </c>
      <c r="F8">
        <v>10.199999999999999</v>
      </c>
    </row>
    <row r="9" spans="1:6" x14ac:dyDescent="0.25">
      <c r="A9">
        <v>7</v>
      </c>
      <c r="B9" s="52" t="s">
        <v>93</v>
      </c>
      <c r="C9" s="7" t="s">
        <v>94</v>
      </c>
      <c r="D9" s="8" t="s">
        <v>95</v>
      </c>
      <c r="E9" s="50">
        <v>0.39</v>
      </c>
      <c r="F9">
        <v>0</v>
      </c>
    </row>
    <row r="10" spans="1:6" x14ac:dyDescent="0.25">
      <c r="A10">
        <v>8</v>
      </c>
      <c r="B10" s="52" t="s">
        <v>96</v>
      </c>
      <c r="C10" s="7" t="s">
        <v>97</v>
      </c>
      <c r="D10" s="8" t="s">
        <v>98</v>
      </c>
      <c r="E10" s="50" t="s">
        <v>98</v>
      </c>
      <c r="F10">
        <v>23.7</v>
      </c>
    </row>
    <row r="11" spans="1:6" x14ac:dyDescent="0.25">
      <c r="A11">
        <v>9</v>
      </c>
      <c r="B11" s="52" t="s">
        <v>99</v>
      </c>
      <c r="C11" s="7" t="s">
        <v>100</v>
      </c>
      <c r="D11" s="8" t="s">
        <v>101</v>
      </c>
      <c r="E11" s="50">
        <v>0.27</v>
      </c>
      <c r="F11">
        <v>0.4</v>
      </c>
    </row>
    <row r="12" spans="1:6" x14ac:dyDescent="0.25">
      <c r="A12">
        <v>10</v>
      </c>
      <c r="B12" s="52" t="s">
        <v>102</v>
      </c>
      <c r="C12" s="7" t="s">
        <v>103</v>
      </c>
      <c r="D12" s="8" t="s">
        <v>104</v>
      </c>
      <c r="E12" s="50">
        <v>0.49</v>
      </c>
      <c r="F12">
        <v>0</v>
      </c>
    </row>
    <row r="13" spans="1:6" x14ac:dyDescent="0.25">
      <c r="A13">
        <v>11</v>
      </c>
      <c r="B13" s="52" t="s">
        <v>105</v>
      </c>
      <c r="C13" s="7" t="s">
        <v>106</v>
      </c>
      <c r="D13" s="8" t="s">
        <v>107</v>
      </c>
      <c r="E13" s="50">
        <v>0.37</v>
      </c>
      <c r="F13">
        <v>0</v>
      </c>
    </row>
    <row r="14" spans="1:6" x14ac:dyDescent="0.25">
      <c r="A14">
        <v>12</v>
      </c>
      <c r="B14" s="52" t="s">
        <v>108</v>
      </c>
      <c r="C14" s="7" t="s">
        <v>98</v>
      </c>
      <c r="D14" s="8" t="s">
        <v>98</v>
      </c>
      <c r="E14" s="50" t="s">
        <v>98</v>
      </c>
      <c r="F14">
        <v>0</v>
      </c>
    </row>
    <row r="15" spans="1:6" x14ac:dyDescent="0.25">
      <c r="A15">
        <v>13</v>
      </c>
      <c r="B15" s="52" t="s">
        <v>109</v>
      </c>
      <c r="C15" s="7" t="s">
        <v>110</v>
      </c>
      <c r="D15" s="8" t="s">
        <v>111</v>
      </c>
      <c r="E15" s="50">
        <v>0.56000000000000005</v>
      </c>
      <c r="F15">
        <v>9.6999999999999993</v>
      </c>
    </row>
    <row r="16" spans="1:6" x14ac:dyDescent="0.25">
      <c r="A16">
        <v>14</v>
      </c>
      <c r="B16" s="52" t="s">
        <v>112</v>
      </c>
      <c r="C16" s="7" t="s">
        <v>113</v>
      </c>
      <c r="D16" s="8" t="s">
        <v>104</v>
      </c>
      <c r="E16" s="50" t="s">
        <v>98</v>
      </c>
      <c r="F16">
        <v>0</v>
      </c>
    </row>
    <row r="17" spans="1:6" x14ac:dyDescent="0.25">
      <c r="A17">
        <v>15</v>
      </c>
      <c r="B17" s="52" t="s">
        <v>114</v>
      </c>
      <c r="C17" s="7" t="s">
        <v>115</v>
      </c>
      <c r="D17" s="8" t="s">
        <v>116</v>
      </c>
      <c r="E17" s="50">
        <v>0.6</v>
      </c>
      <c r="F17">
        <v>53</v>
      </c>
    </row>
    <row r="18" spans="1:6" x14ac:dyDescent="0.25">
      <c r="A18">
        <v>16</v>
      </c>
      <c r="B18" s="52" t="s">
        <v>117</v>
      </c>
      <c r="C18" s="7" t="s">
        <v>118</v>
      </c>
      <c r="D18" s="8" t="s">
        <v>119</v>
      </c>
      <c r="E18" s="50">
        <v>0.6</v>
      </c>
      <c r="F18">
        <v>0</v>
      </c>
    </row>
    <row r="19" spans="1:6" x14ac:dyDescent="0.25">
      <c r="A19">
        <v>17</v>
      </c>
      <c r="B19" s="52" t="s">
        <v>120</v>
      </c>
      <c r="C19" s="7" t="s">
        <v>121</v>
      </c>
      <c r="D19" s="8" t="s">
        <v>122</v>
      </c>
      <c r="E19" s="50">
        <v>0.6</v>
      </c>
      <c r="F19">
        <v>76</v>
      </c>
    </row>
    <row r="20" spans="1:6" x14ac:dyDescent="0.25">
      <c r="A20">
        <v>18</v>
      </c>
      <c r="B20" s="52" t="s">
        <v>123</v>
      </c>
      <c r="C20" s="7" t="s">
        <v>124</v>
      </c>
      <c r="D20" s="8" t="s">
        <v>125</v>
      </c>
      <c r="E20" s="50">
        <v>0.33</v>
      </c>
      <c r="F20">
        <v>0</v>
      </c>
    </row>
    <row r="21" spans="1:6" x14ac:dyDescent="0.25">
      <c r="A21">
        <v>19</v>
      </c>
      <c r="B21" s="52" t="s">
        <v>126</v>
      </c>
      <c r="C21" s="7" t="s">
        <v>98</v>
      </c>
      <c r="D21" s="8" t="s">
        <v>98</v>
      </c>
      <c r="E21" s="50" t="s">
        <v>98</v>
      </c>
      <c r="F21" t="s">
        <v>98</v>
      </c>
    </row>
    <row r="22" spans="1:6" x14ac:dyDescent="0.25">
      <c r="A22">
        <v>20</v>
      </c>
      <c r="B22" s="52" t="s">
        <v>127</v>
      </c>
      <c r="C22" s="7" t="s">
        <v>128</v>
      </c>
      <c r="D22" s="8" t="s">
        <v>129</v>
      </c>
      <c r="E22" s="50">
        <v>0.47</v>
      </c>
      <c r="F22">
        <v>0</v>
      </c>
    </row>
    <row r="23" spans="1:6" x14ac:dyDescent="0.25">
      <c r="A23">
        <v>21</v>
      </c>
      <c r="B23" s="52" t="s">
        <v>130</v>
      </c>
      <c r="C23" s="7" t="s">
        <v>98</v>
      </c>
      <c r="D23" s="8" t="s">
        <v>98</v>
      </c>
      <c r="E23" s="50" t="s">
        <v>98</v>
      </c>
      <c r="F23">
        <v>0</v>
      </c>
    </row>
    <row r="24" spans="1:6" x14ac:dyDescent="0.25">
      <c r="A24">
        <v>22</v>
      </c>
      <c r="B24" s="52" t="s">
        <v>131</v>
      </c>
      <c r="C24" s="7" t="s">
        <v>132</v>
      </c>
      <c r="D24" s="8" t="s">
        <v>133</v>
      </c>
      <c r="E24" s="50">
        <v>0.54</v>
      </c>
      <c r="F24">
        <v>0</v>
      </c>
    </row>
    <row r="25" spans="1:6" x14ac:dyDescent="0.25">
      <c r="A25">
        <v>23</v>
      </c>
      <c r="B25" s="52" t="s">
        <v>134</v>
      </c>
      <c r="C25" s="7" t="s">
        <v>76</v>
      </c>
      <c r="D25" s="8" t="s">
        <v>119</v>
      </c>
      <c r="E25" s="50">
        <v>0.69</v>
      </c>
      <c r="F25">
        <v>33.6</v>
      </c>
    </row>
    <row r="26" spans="1:6" x14ac:dyDescent="0.25">
      <c r="A26">
        <v>24</v>
      </c>
      <c r="B26" s="52" t="s">
        <v>135</v>
      </c>
      <c r="C26" s="7" t="s">
        <v>136</v>
      </c>
      <c r="D26" s="8" t="s">
        <v>137</v>
      </c>
      <c r="E26" s="50">
        <v>0.52</v>
      </c>
      <c r="F26">
        <v>0</v>
      </c>
    </row>
    <row r="27" spans="1:6" ht="15.75" customHeight="1" thickBot="1" x14ac:dyDescent="0.3">
      <c r="A27">
        <v>25</v>
      </c>
      <c r="B27" s="53" t="s">
        <v>138</v>
      </c>
      <c r="C27" s="9" t="s">
        <v>106</v>
      </c>
      <c r="D27" s="10" t="s">
        <v>139</v>
      </c>
      <c r="E27" s="58">
        <v>0.56999999999999995</v>
      </c>
      <c r="F27">
        <v>0.6</v>
      </c>
    </row>
    <row r="28" spans="1:6" x14ac:dyDescent="0.25">
      <c r="A28">
        <v>26</v>
      </c>
      <c r="B28" s="54" t="s">
        <v>140</v>
      </c>
      <c r="C28" s="16" t="s">
        <v>141</v>
      </c>
      <c r="D28" s="32" t="s">
        <v>142</v>
      </c>
      <c r="E28" s="66">
        <v>0.41</v>
      </c>
      <c r="F28">
        <v>2.2000000000000002</v>
      </c>
    </row>
    <row r="29" spans="1:6" x14ac:dyDescent="0.25">
      <c r="A29">
        <v>27</v>
      </c>
      <c r="B29" s="54" t="s">
        <v>143</v>
      </c>
      <c r="C29" s="16" t="s">
        <v>144</v>
      </c>
      <c r="D29" s="16" t="s">
        <v>107</v>
      </c>
      <c r="E29" s="66">
        <v>0.47</v>
      </c>
      <c r="F29">
        <v>0</v>
      </c>
    </row>
  </sheetData>
  <pageMargins left="0.511811024" right="0.511811024" top="0.78740157499999996" bottom="0.78740157499999996" header="0.31496062000000002" footer="0.31496062000000002"/>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X32"/>
  <sheetViews>
    <sheetView workbookViewId="0">
      <pane xSplit="2" ySplit="3" topLeftCell="C4" activePane="bottomRight" state="frozen"/>
      <selection pane="topRight" activeCell="C1" sqref="C1"/>
      <selection pane="bottomLeft" activeCell="A4" sqref="A4"/>
      <selection pane="bottomRight" activeCell="I7" sqref="I7"/>
    </sheetView>
  </sheetViews>
  <sheetFormatPr defaultRowHeight="15" x14ac:dyDescent="0.25"/>
  <cols>
    <col min="1" max="2" width="9.140625" style="106"/>
    <col min="3" max="14" width="10.28515625" style="106" customWidth="1"/>
    <col min="15" max="15" width="26.28515625" style="106" customWidth="1"/>
    <col min="16" max="17" width="24.85546875" style="106" customWidth="1"/>
    <col min="18" max="18" width="23" style="106" customWidth="1"/>
    <col min="19" max="19" width="25.85546875" style="106" customWidth="1"/>
    <col min="20" max="20" width="20.42578125" style="106" customWidth="1"/>
    <col min="21" max="24" width="18.85546875" style="106" customWidth="1"/>
    <col min="25" max="16384" width="9.140625" style="106"/>
  </cols>
  <sheetData>
    <row r="1" spans="1:24" x14ac:dyDescent="0.25">
      <c r="A1" s="27" t="s">
        <v>145</v>
      </c>
    </row>
    <row r="2" spans="1:24" x14ac:dyDescent="0.25">
      <c r="A2" s="144" t="s">
        <v>146</v>
      </c>
      <c r="B2" s="144" t="s">
        <v>147</v>
      </c>
      <c r="C2" s="145" t="s">
        <v>148</v>
      </c>
      <c r="D2" s="143"/>
      <c r="E2" s="143"/>
      <c r="F2" s="143"/>
      <c r="G2" s="143"/>
      <c r="H2" s="120"/>
      <c r="I2" s="145" t="s">
        <v>149</v>
      </c>
      <c r="J2" s="143"/>
      <c r="K2" s="143"/>
      <c r="L2" s="143"/>
      <c r="M2" s="143"/>
      <c r="N2" s="120"/>
      <c r="O2" s="142" t="s">
        <v>150</v>
      </c>
      <c r="P2" s="143"/>
      <c r="Q2" s="143"/>
      <c r="R2" s="143"/>
      <c r="S2" s="120"/>
      <c r="T2" s="144" t="s">
        <v>151</v>
      </c>
      <c r="U2" s="143"/>
      <c r="V2" s="143"/>
      <c r="W2" s="143"/>
      <c r="X2" s="120"/>
    </row>
    <row r="3" spans="1:24" x14ac:dyDescent="0.25">
      <c r="A3" s="147"/>
      <c r="B3" s="147"/>
      <c r="C3" s="144" t="s">
        <v>10</v>
      </c>
      <c r="D3" s="120"/>
      <c r="E3" s="144" t="s">
        <v>12</v>
      </c>
      <c r="F3" s="120"/>
      <c r="G3" s="144" t="s">
        <v>14</v>
      </c>
      <c r="H3" s="120"/>
      <c r="I3" s="144" t="s">
        <v>10</v>
      </c>
      <c r="J3" s="120"/>
      <c r="K3" s="144" t="s">
        <v>12</v>
      </c>
      <c r="L3" s="120"/>
      <c r="M3" s="144" t="s">
        <v>14</v>
      </c>
      <c r="N3" s="120"/>
      <c r="O3" s="108" t="s">
        <v>10</v>
      </c>
      <c r="P3" s="108" t="s">
        <v>12</v>
      </c>
      <c r="Q3" s="108" t="s">
        <v>152</v>
      </c>
      <c r="R3" s="108" t="s">
        <v>14</v>
      </c>
      <c r="S3" s="108" t="s">
        <v>153</v>
      </c>
      <c r="T3" s="108" t="s">
        <v>10</v>
      </c>
      <c r="U3" s="108" t="s">
        <v>12</v>
      </c>
      <c r="V3" s="108" t="s">
        <v>152</v>
      </c>
      <c r="W3" s="108" t="s">
        <v>14</v>
      </c>
      <c r="X3" s="108" t="s">
        <v>154</v>
      </c>
    </row>
    <row r="4" spans="1:24" ht="33" customHeight="1" x14ac:dyDescent="0.25">
      <c r="A4" s="33">
        <f>Tabela!C2</f>
        <v>44291</v>
      </c>
      <c r="B4" s="34">
        <f t="shared" ref="B4:B10" si="0">WEEKDAY(A4)</f>
        <v>2</v>
      </c>
      <c r="C4" s="35">
        <f>Tabela!$C$6</f>
        <v>0</v>
      </c>
      <c r="D4" s="35">
        <f>Tabela!$D$6</f>
        <v>0</v>
      </c>
      <c r="E4" s="35">
        <f>Tabela!$C$8</f>
        <v>0</v>
      </c>
      <c r="F4" s="35">
        <f>Tabela!$D$8</f>
        <v>0</v>
      </c>
      <c r="G4" s="35">
        <f>Tabela!$C$10</f>
        <v>0</v>
      </c>
      <c r="H4" s="35">
        <f>Tabela!$D$10</f>
        <v>0</v>
      </c>
      <c r="I4" s="36" t="str">
        <f t="shared" ref="I4:N4" si="1">IF(RIGHT(C4,2)="°C",C4,C4&amp;" °C")</f>
        <v>0 °C</v>
      </c>
      <c r="J4" s="36" t="str">
        <f t="shared" si="1"/>
        <v>0 °C</v>
      </c>
      <c r="K4" s="36" t="str">
        <f t="shared" si="1"/>
        <v>0 °C</v>
      </c>
      <c r="L4" s="36" t="str">
        <f t="shared" si="1"/>
        <v>0 °C</v>
      </c>
      <c r="M4" s="36" t="str">
        <f t="shared" si="1"/>
        <v>0 °C</v>
      </c>
      <c r="N4" s="36" t="str">
        <f t="shared" si="1"/>
        <v>0 °C</v>
      </c>
      <c r="O4" s="37" t="str">
        <f>Tabela!$M$6 &amp; " " &amp; Tabela!$N$6 &amp; " " &amp; Tabela!$O$6</f>
        <v xml:space="preserve">  </v>
      </c>
      <c r="P4" s="37" t="str">
        <f>Tabela!$M$8 &amp; " " &amp; Tabela!$N$8 &amp; " " &amp; Tabela!$O$8</f>
        <v xml:space="preserve">  </v>
      </c>
      <c r="Q4" s="37"/>
      <c r="R4" s="37" t="str">
        <f>Tabela!$M$10 &amp; " " &amp; Tabela!$N$10 &amp; " " &amp; Tabela!$O$10</f>
        <v xml:space="preserve">  </v>
      </c>
      <c r="S4" s="37" t="str">
        <f>Tabela!$M$11 &amp; " " &amp; Tabela!$N$11 &amp; " " &amp; Tabela!$O$11</f>
        <v xml:space="preserve">  </v>
      </c>
      <c r="T4" s="38" t="str">
        <f t="shared" ref="T4:U9" si="2">O4</f>
        <v xml:space="preserve">  </v>
      </c>
      <c r="U4" s="38" t="str">
        <f t="shared" si="2"/>
        <v xml:space="preserve">  </v>
      </c>
      <c r="V4" s="38"/>
      <c r="W4" s="38" t="str">
        <f t="shared" ref="W4:X9" si="3">R4</f>
        <v xml:space="preserve">  </v>
      </c>
      <c r="X4" s="38" t="str">
        <f t="shared" si="3"/>
        <v xml:space="preserve">  </v>
      </c>
    </row>
    <row r="5" spans="1:24" ht="43.5" customHeight="1" x14ac:dyDescent="0.25">
      <c r="A5" s="33">
        <f>Tabela!E2</f>
        <v>44292</v>
      </c>
      <c r="B5" s="34">
        <f t="shared" si="0"/>
        <v>3</v>
      </c>
      <c r="C5" s="35">
        <f>Tabela!$E$6</f>
        <v>0</v>
      </c>
      <c r="D5" s="35">
        <f>Tabela!$F$6</f>
        <v>0</v>
      </c>
      <c r="E5" s="35">
        <f>Tabela!$E$8</f>
        <v>0</v>
      </c>
      <c r="F5" s="35">
        <f>Tabela!$F$8</f>
        <v>0</v>
      </c>
      <c r="G5" s="35">
        <f>Tabela!$E$10</f>
        <v>0</v>
      </c>
      <c r="H5" s="35">
        <f>Tabela!$F$10</f>
        <v>0</v>
      </c>
      <c r="I5" s="36">
        <f t="shared" ref="I5:N8" si="4">C5</f>
        <v>0</v>
      </c>
      <c r="J5" s="36">
        <f t="shared" si="4"/>
        <v>0</v>
      </c>
      <c r="K5" s="36">
        <f t="shared" si="4"/>
        <v>0</v>
      </c>
      <c r="L5" s="36">
        <f t="shared" si="4"/>
        <v>0</v>
      </c>
      <c r="M5" s="36">
        <f t="shared" si="4"/>
        <v>0</v>
      </c>
      <c r="N5" s="36">
        <f t="shared" si="4"/>
        <v>0</v>
      </c>
      <c r="O5" s="37" t="str">
        <f>Tabela!$P$6 &amp; " " &amp; Tabela!$Q$6 &amp; " " &amp; Tabela!$R$6</f>
        <v xml:space="preserve">  </v>
      </c>
      <c r="P5" s="37" t="str">
        <f>Tabela!$P$8 &amp; " " &amp; Tabela!$Q$8 &amp; " " &amp; Tabela!$R$8</f>
        <v xml:space="preserve">  </v>
      </c>
      <c r="Q5" s="37"/>
      <c r="R5" s="37" t="str">
        <f>Tabela!$P$10 &amp; " " &amp; Tabela!$Q$10 &amp; " " &amp; Tabela!$R$10</f>
        <v xml:space="preserve">  </v>
      </c>
      <c r="S5" s="37" t="str">
        <f>Tabela!$P$11 &amp; " " &amp; Tabela!$Q$11 &amp; " " &amp; Tabela!$R$11</f>
        <v xml:space="preserve">  </v>
      </c>
      <c r="T5" s="38" t="str">
        <f t="shared" si="2"/>
        <v xml:space="preserve">  </v>
      </c>
      <c r="U5" s="38" t="str">
        <f t="shared" si="2"/>
        <v xml:space="preserve">  </v>
      </c>
      <c r="V5" s="38"/>
      <c r="W5" s="38" t="str">
        <f t="shared" si="3"/>
        <v xml:space="preserve">  </v>
      </c>
      <c r="X5" s="38" t="str">
        <f t="shared" si="3"/>
        <v xml:space="preserve">  </v>
      </c>
    </row>
    <row r="6" spans="1:24" ht="43.5" customHeight="1" x14ac:dyDescent="0.25">
      <c r="A6" s="33">
        <f>Tabela!G2</f>
        <v>44293</v>
      </c>
      <c r="B6" s="34">
        <f t="shared" si="0"/>
        <v>4</v>
      </c>
      <c r="C6" s="35">
        <f>Tabela!$G$6</f>
        <v>0</v>
      </c>
      <c r="D6" s="35">
        <f>Tabela!$H$6</f>
        <v>0</v>
      </c>
      <c r="E6" s="35">
        <f>Tabela!$G$8</f>
        <v>0</v>
      </c>
      <c r="F6" s="35">
        <f>Tabela!$H$8</f>
        <v>0</v>
      </c>
      <c r="G6" s="35">
        <f>Tabela!$G$10</f>
        <v>0</v>
      </c>
      <c r="H6" s="35">
        <f>Tabela!$H$10</f>
        <v>0</v>
      </c>
      <c r="I6" s="36">
        <f t="shared" si="4"/>
        <v>0</v>
      </c>
      <c r="J6" s="36">
        <f t="shared" si="4"/>
        <v>0</v>
      </c>
      <c r="K6" s="36">
        <f t="shared" si="4"/>
        <v>0</v>
      </c>
      <c r="L6" s="36">
        <f t="shared" si="4"/>
        <v>0</v>
      </c>
      <c r="M6" s="36">
        <f t="shared" si="4"/>
        <v>0</v>
      </c>
      <c r="N6" s="36">
        <f t="shared" si="4"/>
        <v>0</v>
      </c>
      <c r="O6" s="37" t="str">
        <f>Tabela!$S$6 &amp; " " &amp; Tabela!$T$6 &amp; " " &amp; Tabela!$U$6</f>
        <v xml:space="preserve">  </v>
      </c>
      <c r="P6" s="37" t="str">
        <f>Tabela!$S$8 &amp; " " &amp; Tabela!$T$8 &amp; " " &amp; Tabela!$U$8</f>
        <v xml:space="preserve">  </v>
      </c>
      <c r="Q6" s="37"/>
      <c r="R6" s="37" t="str">
        <f>Tabela!$S$10 &amp; " " &amp; Tabela!$T$10 &amp; " " &amp; Tabela!$U$10</f>
        <v xml:space="preserve">  </v>
      </c>
      <c r="S6" s="37" t="str">
        <f>Tabela!$S$11 &amp; " " &amp; Tabela!$T$11 &amp; " " &amp; Tabela!$U$11</f>
        <v xml:space="preserve">  </v>
      </c>
      <c r="T6" s="38" t="str">
        <f t="shared" si="2"/>
        <v xml:space="preserve">  </v>
      </c>
      <c r="U6" s="38" t="str">
        <f t="shared" si="2"/>
        <v xml:space="preserve">  </v>
      </c>
      <c r="V6" s="38"/>
      <c r="W6" s="38" t="str">
        <f t="shared" si="3"/>
        <v xml:space="preserve">  </v>
      </c>
      <c r="X6" s="38" t="str">
        <f t="shared" si="3"/>
        <v xml:space="preserve">  </v>
      </c>
    </row>
    <row r="7" spans="1:24" ht="43.5" customHeight="1" x14ac:dyDescent="0.25">
      <c r="A7" s="33">
        <f>Tabela!I2</f>
        <v>44294</v>
      </c>
      <c r="B7" s="34">
        <f t="shared" si="0"/>
        <v>5</v>
      </c>
      <c r="C7" s="35">
        <f>Tabela!$I$6</f>
        <v>0</v>
      </c>
      <c r="D7" s="35">
        <f>Tabela!$J$6</f>
        <v>0</v>
      </c>
      <c r="E7" s="35">
        <f>Tabela!$I$8</f>
        <v>0</v>
      </c>
      <c r="F7" s="35">
        <f>Tabela!$J$8</f>
        <v>0</v>
      </c>
      <c r="G7" s="35">
        <f>Tabela!$I$10</f>
        <v>0</v>
      </c>
      <c r="H7" s="35">
        <f>Tabela!$J$10</f>
        <v>0</v>
      </c>
      <c r="I7" s="36">
        <f t="shared" si="4"/>
        <v>0</v>
      </c>
      <c r="J7" s="36">
        <f t="shared" si="4"/>
        <v>0</v>
      </c>
      <c r="K7" s="36">
        <f t="shared" si="4"/>
        <v>0</v>
      </c>
      <c r="L7" s="36">
        <f t="shared" si="4"/>
        <v>0</v>
      </c>
      <c r="M7" s="36">
        <f t="shared" si="4"/>
        <v>0</v>
      </c>
      <c r="N7" s="36">
        <f t="shared" si="4"/>
        <v>0</v>
      </c>
      <c r="O7" s="37" t="str">
        <f>Tabela!$V$6 &amp; " " &amp; Tabela!$W$6 &amp; " " &amp; Tabela!$X$6</f>
        <v xml:space="preserve">  </v>
      </c>
      <c r="P7" s="37" t="str">
        <f>Tabela!$V$8 &amp; " " &amp; Tabela!$W$8 &amp; " " &amp; Tabela!$X$8</f>
        <v xml:space="preserve">  </v>
      </c>
      <c r="Q7" s="37"/>
      <c r="R7" s="37" t="str">
        <f>Tabela!$V$10 &amp; " " &amp; Tabela!$W$10 &amp; " " &amp; Tabela!$X$10</f>
        <v xml:space="preserve">  </v>
      </c>
      <c r="S7" s="37" t="str">
        <f>Tabela!$V$11 &amp; " " &amp; Tabela!$W$11 &amp; " " &amp; Tabela!$X$11</f>
        <v xml:space="preserve">  </v>
      </c>
      <c r="T7" s="38" t="str">
        <f t="shared" si="2"/>
        <v xml:space="preserve">  </v>
      </c>
      <c r="U7" s="38" t="str">
        <f t="shared" si="2"/>
        <v xml:space="preserve">  </v>
      </c>
      <c r="V7" s="38"/>
      <c r="W7" s="38" t="str">
        <f t="shared" si="3"/>
        <v xml:space="preserve">  </v>
      </c>
      <c r="X7" s="38" t="str">
        <f t="shared" si="3"/>
        <v xml:space="preserve">  </v>
      </c>
    </row>
    <row r="8" spans="1:24" ht="47.25" customHeight="1" x14ac:dyDescent="0.25">
      <c r="A8" s="33">
        <f>Tabela!K2</f>
        <v>44295</v>
      </c>
      <c r="B8" s="34">
        <f t="shared" si="0"/>
        <v>6</v>
      </c>
      <c r="C8" s="35">
        <f>Tabela!$K$6</f>
        <v>0</v>
      </c>
      <c r="D8" s="35">
        <f>Tabela!$L$6</f>
        <v>0</v>
      </c>
      <c r="E8" s="35">
        <f>Tabela!$K$8</f>
        <v>0</v>
      </c>
      <c r="F8" s="35">
        <f>Tabela!$L$8</f>
        <v>0</v>
      </c>
      <c r="G8" s="35">
        <f>Tabela!$K$10</f>
        <v>0</v>
      </c>
      <c r="H8" s="35">
        <f>Tabela!$L$10</f>
        <v>0</v>
      </c>
      <c r="I8" s="36">
        <f t="shared" si="4"/>
        <v>0</v>
      </c>
      <c r="J8" s="36">
        <f t="shared" si="4"/>
        <v>0</v>
      </c>
      <c r="K8" s="36">
        <f t="shared" si="4"/>
        <v>0</v>
      </c>
      <c r="L8" s="36">
        <f t="shared" si="4"/>
        <v>0</v>
      </c>
      <c r="M8" s="36">
        <f t="shared" si="4"/>
        <v>0</v>
      </c>
      <c r="N8" s="36">
        <f t="shared" si="4"/>
        <v>0</v>
      </c>
      <c r="O8" s="37" t="str">
        <f>Tabela!$Y$6 &amp; " " &amp; Tabela!$Z$6 &amp; " " &amp; Tabela!$AA$6</f>
        <v xml:space="preserve">  </v>
      </c>
      <c r="P8" s="37" t="str">
        <f>Tabela!$Y$8 &amp; " " &amp; Tabela!$Z$8 &amp; " " &amp; Tabela!$AA$8</f>
        <v xml:space="preserve">  </v>
      </c>
      <c r="Q8" s="37"/>
      <c r="R8" s="37" t="str">
        <f>Tabela!$Y$10 &amp; " " &amp; Tabela!$Z$10 &amp; " " &amp; Tabela!$AA$10</f>
        <v xml:space="preserve">  </v>
      </c>
      <c r="S8" s="37" t="str">
        <f>Tabela!$Y$11 &amp; " " &amp; Tabela!$Z$11 &amp; " " &amp; Tabela!$AA$11</f>
        <v xml:space="preserve">  </v>
      </c>
      <c r="T8" s="38" t="str">
        <f t="shared" si="2"/>
        <v xml:space="preserve">  </v>
      </c>
      <c r="U8" s="38" t="str">
        <f t="shared" si="2"/>
        <v xml:space="preserve">  </v>
      </c>
      <c r="V8" s="38"/>
      <c r="W8" s="38" t="str">
        <f t="shared" si="3"/>
        <v xml:space="preserve">  </v>
      </c>
      <c r="X8" s="38" t="str">
        <f t="shared" si="3"/>
        <v xml:space="preserve">  </v>
      </c>
    </row>
    <row r="9" spans="1:24" x14ac:dyDescent="0.25">
      <c r="A9" s="33"/>
      <c r="B9" s="34">
        <f t="shared" si="0"/>
        <v>7</v>
      </c>
      <c r="C9" s="35"/>
      <c r="D9" s="35"/>
      <c r="E9" s="35"/>
      <c r="F9" s="35"/>
      <c r="G9" s="35"/>
      <c r="H9" s="35"/>
      <c r="I9" s="36"/>
      <c r="J9" s="36"/>
      <c r="K9" s="36"/>
      <c r="L9" s="36"/>
      <c r="M9" s="36"/>
      <c r="N9" s="36"/>
      <c r="O9" s="37" t="str">
        <f>Tabela!$AB$6 &amp; " " &amp; Tabela!$AC$6 &amp; " " &amp; Tabela!$AD$6</f>
        <v xml:space="preserve">  </v>
      </c>
      <c r="P9" s="37" t="str">
        <f>Tabela!$AB$8 &amp; " " &amp; Tabela!$AC$8 &amp; " " &amp; Tabela!$AD$8</f>
        <v xml:space="preserve">  </v>
      </c>
      <c r="Q9" s="37"/>
      <c r="R9" s="37" t="str">
        <f>Tabela!$AB$10 &amp; " " &amp; Tabela!$AC$10 &amp; " " &amp; Tabela!$AD$10</f>
        <v xml:space="preserve">  </v>
      </c>
      <c r="S9" s="37" t="str">
        <f>Tabela!$AB$11 &amp; " " &amp; Tabela!$AC$11 &amp; " " &amp; Tabela!$AD$11</f>
        <v xml:space="preserve">  </v>
      </c>
      <c r="T9" s="38" t="str">
        <f t="shared" si="2"/>
        <v xml:space="preserve">  </v>
      </c>
      <c r="U9" s="38" t="str">
        <f t="shared" si="2"/>
        <v xml:space="preserve">  </v>
      </c>
      <c r="V9" s="38"/>
      <c r="W9" s="38" t="str">
        <f t="shared" si="3"/>
        <v xml:space="preserve">  </v>
      </c>
      <c r="X9" s="38" t="str">
        <f t="shared" si="3"/>
        <v xml:space="preserve">  </v>
      </c>
    </row>
    <row r="10" spans="1:24" x14ac:dyDescent="0.25">
      <c r="A10" s="33"/>
      <c r="B10" s="34">
        <f t="shared" si="0"/>
        <v>7</v>
      </c>
      <c r="C10" s="40"/>
      <c r="D10" s="35"/>
      <c r="E10" s="35"/>
      <c r="F10" s="35"/>
      <c r="G10" s="35"/>
      <c r="H10" s="35"/>
      <c r="I10" s="36"/>
      <c r="J10" s="36"/>
      <c r="K10" s="36"/>
      <c r="L10" s="36"/>
      <c r="M10" s="36"/>
      <c r="N10" s="36"/>
      <c r="O10" s="37"/>
      <c r="P10" s="37"/>
      <c r="Q10" s="37"/>
      <c r="R10" s="37"/>
      <c r="S10" s="37"/>
      <c r="T10" s="38" t="str">
        <f>O9</f>
        <v xml:space="preserve">  </v>
      </c>
      <c r="U10" s="38" t="str">
        <f>P9</f>
        <v xml:space="preserve">  </v>
      </c>
      <c r="V10" s="38"/>
      <c r="W10" s="38" t="str">
        <f>R9</f>
        <v xml:space="preserve">  </v>
      </c>
      <c r="X10" s="38" t="str">
        <f>S9</f>
        <v xml:space="preserve">  </v>
      </c>
    </row>
    <row r="12" spans="1:24" x14ac:dyDescent="0.25">
      <c r="A12" s="27" t="s">
        <v>155</v>
      </c>
    </row>
    <row r="13" spans="1:24" ht="15" customHeight="1" x14ac:dyDescent="0.25">
      <c r="A13" s="146" t="s">
        <v>146</v>
      </c>
      <c r="B13" s="148" t="s">
        <v>147</v>
      </c>
      <c r="C13" s="148" t="s">
        <v>148</v>
      </c>
      <c r="D13" s="143"/>
      <c r="E13" s="143"/>
      <c r="F13" s="143"/>
      <c r="G13" s="143"/>
      <c r="H13" s="120"/>
      <c r="I13" s="148" t="s">
        <v>149</v>
      </c>
      <c r="J13" s="143"/>
      <c r="K13" s="143"/>
      <c r="L13" s="143"/>
      <c r="M13" s="143"/>
      <c r="N13" s="120"/>
      <c r="O13" s="149" t="s">
        <v>150</v>
      </c>
      <c r="P13" s="143"/>
      <c r="Q13" s="143"/>
      <c r="R13" s="149" t="s">
        <v>151</v>
      </c>
      <c r="S13" s="143"/>
      <c r="T13" s="143"/>
    </row>
    <row r="14" spans="1:24" x14ac:dyDescent="0.25">
      <c r="A14" s="147"/>
      <c r="B14" s="147"/>
      <c r="C14" s="148" t="s">
        <v>18</v>
      </c>
      <c r="D14" s="120"/>
      <c r="E14" s="148" t="s">
        <v>20</v>
      </c>
      <c r="F14" s="120"/>
      <c r="G14" s="148" t="s">
        <v>156</v>
      </c>
      <c r="H14" s="120"/>
      <c r="I14" s="148" t="s">
        <v>18</v>
      </c>
      <c r="J14" s="120"/>
      <c r="K14" s="148" t="s">
        <v>20</v>
      </c>
      <c r="L14" s="120"/>
      <c r="M14" s="148" t="s">
        <v>156</v>
      </c>
      <c r="N14" s="120"/>
      <c r="O14" s="26" t="s">
        <v>18</v>
      </c>
      <c r="P14" s="26" t="s">
        <v>20</v>
      </c>
      <c r="Q14" s="26" t="s">
        <v>156</v>
      </c>
      <c r="R14" s="26" t="s">
        <v>18</v>
      </c>
      <c r="S14" s="26" t="s">
        <v>20</v>
      </c>
      <c r="T14" s="26" t="s">
        <v>156</v>
      </c>
    </row>
    <row r="15" spans="1:24" ht="45" customHeight="1" x14ac:dyDescent="0.25">
      <c r="A15" s="33">
        <f t="shared" ref="A15:A21" si="5">A4</f>
        <v>44291</v>
      </c>
      <c r="B15" s="34">
        <f t="shared" ref="B15:B21" si="6">WEEKDAY(A15)</f>
        <v>2</v>
      </c>
      <c r="C15" s="35">
        <f>Tabela!$C$14</f>
        <v>0</v>
      </c>
      <c r="D15" s="35">
        <f>Tabela!$D$14</f>
        <v>0</v>
      </c>
      <c r="E15" s="35">
        <f>Tabela!$C$16</f>
        <v>0</v>
      </c>
      <c r="F15" s="35">
        <f>Tabela!$D$16</f>
        <v>0</v>
      </c>
      <c r="G15" s="35">
        <f>Tabela!$C$18</f>
        <v>0</v>
      </c>
      <c r="H15" s="35">
        <f>Tabela!$D$18</f>
        <v>0</v>
      </c>
      <c r="I15" s="36" t="str">
        <f t="shared" ref="I15:N15" si="7">IF(RIGHT(C15,2)="°C",C15,C15&amp;" °C")</f>
        <v>0 °C</v>
      </c>
      <c r="J15" s="36" t="str">
        <f t="shared" si="7"/>
        <v>0 °C</v>
      </c>
      <c r="K15" s="36" t="str">
        <f t="shared" si="7"/>
        <v>0 °C</v>
      </c>
      <c r="L15" s="36" t="str">
        <f t="shared" si="7"/>
        <v>0 °C</v>
      </c>
      <c r="M15" s="36" t="str">
        <f t="shared" si="7"/>
        <v>0 °C</v>
      </c>
      <c r="N15" s="36" t="str">
        <f t="shared" si="7"/>
        <v>0 °C</v>
      </c>
      <c r="O15" s="37" t="str">
        <f>Tabela!$M$14 &amp; " " &amp;  Tabela!$N$14 &amp; " " &amp;  Tabela!$O$14</f>
        <v xml:space="preserve">  </v>
      </c>
      <c r="P15" s="37" t="str">
        <f>Tabela!$M$16 &amp; " " &amp;  Tabela!$N$16 &amp; " " &amp;  Tabela!$O$16</f>
        <v xml:space="preserve">  </v>
      </c>
      <c r="Q15" s="37" t="str">
        <f>Tabela!$M$18 &amp; " " &amp;  Tabela!$N$18 &amp; " " &amp;  Tabela!$O$18</f>
        <v xml:space="preserve">  </v>
      </c>
      <c r="R15" s="38" t="str">
        <f t="shared" ref="R15:T20" si="8">O15</f>
        <v xml:space="preserve">  </v>
      </c>
      <c r="S15" s="38" t="str">
        <f t="shared" si="8"/>
        <v xml:space="preserve">  </v>
      </c>
      <c r="T15" s="38" t="str">
        <f t="shared" si="8"/>
        <v xml:space="preserve">  </v>
      </c>
    </row>
    <row r="16" spans="1:24" ht="45" customHeight="1" x14ac:dyDescent="0.25">
      <c r="A16" s="33">
        <f t="shared" si="5"/>
        <v>44292</v>
      </c>
      <c r="B16" s="34">
        <f t="shared" si="6"/>
        <v>3</v>
      </c>
      <c r="C16" s="35">
        <f>Tabela!$E$14</f>
        <v>0</v>
      </c>
      <c r="D16" s="35">
        <f>Tabela!$F$14</f>
        <v>0</v>
      </c>
      <c r="E16" s="35">
        <f>Tabela!$E$16</f>
        <v>0</v>
      </c>
      <c r="F16" s="35">
        <f>Tabela!$F$16</f>
        <v>0</v>
      </c>
      <c r="G16" s="35">
        <f>Tabela!$E$18</f>
        <v>0</v>
      </c>
      <c r="H16" s="35">
        <f>Tabela!$F$18</f>
        <v>0</v>
      </c>
      <c r="I16" s="36">
        <f t="shared" ref="I16:N19" si="9">C16</f>
        <v>0</v>
      </c>
      <c r="J16" s="36">
        <f t="shared" si="9"/>
        <v>0</v>
      </c>
      <c r="K16" s="36">
        <f t="shared" si="9"/>
        <v>0</v>
      </c>
      <c r="L16" s="36">
        <f t="shared" si="9"/>
        <v>0</v>
      </c>
      <c r="M16" s="36">
        <f t="shared" si="9"/>
        <v>0</v>
      </c>
      <c r="N16" s="36">
        <f t="shared" si="9"/>
        <v>0</v>
      </c>
      <c r="O16" s="37" t="str">
        <f>Tabela!$P$14 &amp; " " &amp;  Tabela!$Q$14 &amp; " " &amp;  Tabela!$R$14</f>
        <v xml:space="preserve">  </v>
      </c>
      <c r="P16" s="37" t="str">
        <f>Tabela!$P$16 &amp; " " &amp;  Tabela!$Q$16 &amp; " " &amp;  Tabela!$R$16</f>
        <v xml:space="preserve">  </v>
      </c>
      <c r="Q16" s="37" t="str">
        <f>Tabela!$P$18 &amp; " " &amp;  Tabela!$Q$18 &amp; " " &amp;  Tabela!$R$18</f>
        <v xml:space="preserve">  </v>
      </c>
      <c r="R16" s="38" t="str">
        <f t="shared" si="8"/>
        <v xml:space="preserve">  </v>
      </c>
      <c r="S16" s="38" t="str">
        <f t="shared" si="8"/>
        <v xml:space="preserve">  </v>
      </c>
      <c r="T16" s="38" t="str">
        <f t="shared" si="8"/>
        <v xml:space="preserve">  </v>
      </c>
    </row>
    <row r="17" spans="1:20" ht="45" customHeight="1" x14ac:dyDescent="0.25">
      <c r="A17" s="33">
        <f t="shared" si="5"/>
        <v>44293</v>
      </c>
      <c r="B17" s="34">
        <f t="shared" si="6"/>
        <v>4</v>
      </c>
      <c r="C17" s="35">
        <f>Tabela!$G$14</f>
        <v>0</v>
      </c>
      <c r="D17" s="35">
        <f>Tabela!$H$14</f>
        <v>0</v>
      </c>
      <c r="E17" s="35">
        <f>Tabela!$G$16</f>
        <v>0</v>
      </c>
      <c r="F17" s="35">
        <f>Tabela!$H$16</f>
        <v>0</v>
      </c>
      <c r="G17" s="35">
        <f>Tabela!$G$18</f>
        <v>0</v>
      </c>
      <c r="H17" s="35">
        <f>Tabela!$H$18</f>
        <v>0</v>
      </c>
      <c r="I17" s="36">
        <f t="shared" si="9"/>
        <v>0</v>
      </c>
      <c r="J17" s="36">
        <f t="shared" si="9"/>
        <v>0</v>
      </c>
      <c r="K17" s="36">
        <f t="shared" si="9"/>
        <v>0</v>
      </c>
      <c r="L17" s="36">
        <f t="shared" si="9"/>
        <v>0</v>
      </c>
      <c r="M17" s="36">
        <f t="shared" si="9"/>
        <v>0</v>
      </c>
      <c r="N17" s="36">
        <f t="shared" si="9"/>
        <v>0</v>
      </c>
      <c r="O17" s="37" t="str">
        <f>Tabela!$S$14 &amp; " " &amp;  Tabela!$T$14 &amp;  " " &amp;  Tabela!$U$14</f>
        <v xml:space="preserve">  </v>
      </c>
      <c r="P17" s="37" t="str">
        <f>Tabela!$S$16 &amp; " " &amp;  Tabela!$T$16 &amp;  " " &amp;  Tabela!$U$16</f>
        <v xml:space="preserve">  </v>
      </c>
      <c r="Q17" s="37" t="str">
        <f>Tabela!$S$18 &amp; " " &amp;  Tabela!$T$18 &amp;  " " &amp;  Tabela!$U$18</f>
        <v xml:space="preserve">  </v>
      </c>
      <c r="R17" s="38" t="str">
        <f t="shared" si="8"/>
        <v xml:space="preserve">  </v>
      </c>
      <c r="S17" s="38" t="str">
        <f t="shared" si="8"/>
        <v xml:space="preserve">  </v>
      </c>
      <c r="T17" s="38" t="str">
        <f t="shared" si="8"/>
        <v xml:space="preserve">  </v>
      </c>
    </row>
    <row r="18" spans="1:20" ht="45" x14ac:dyDescent="0.25">
      <c r="A18" s="33">
        <f t="shared" si="5"/>
        <v>44294</v>
      </c>
      <c r="B18" s="34">
        <f t="shared" si="6"/>
        <v>5</v>
      </c>
      <c r="C18" s="35">
        <f>Tabela!$I$14</f>
        <v>0</v>
      </c>
      <c r="D18" s="35">
        <f>Tabela!$J$14</f>
        <v>0</v>
      </c>
      <c r="E18" s="35">
        <f>Tabela!$I$16</f>
        <v>0</v>
      </c>
      <c r="F18" s="35">
        <f>Tabela!$J$16</f>
        <v>0</v>
      </c>
      <c r="G18" s="35">
        <f>Tabela!$I$18</f>
        <v>0</v>
      </c>
      <c r="H18" s="35">
        <f>Tabela!$J$18</f>
        <v>0</v>
      </c>
      <c r="I18" s="36">
        <f t="shared" si="9"/>
        <v>0</v>
      </c>
      <c r="J18" s="36">
        <f t="shared" si="9"/>
        <v>0</v>
      </c>
      <c r="K18" s="36">
        <f t="shared" si="9"/>
        <v>0</v>
      </c>
      <c r="L18" s="36">
        <f t="shared" si="9"/>
        <v>0</v>
      </c>
      <c r="M18" s="36">
        <f t="shared" si="9"/>
        <v>0</v>
      </c>
      <c r="N18" s="36">
        <f t="shared" si="9"/>
        <v>0</v>
      </c>
      <c r="O18" s="37" t="str">
        <f>Tabela!$V$14 &amp; " " &amp;  Tabela!$W$14 &amp;  " " &amp;  Tabela!$X$14</f>
        <v xml:space="preserve">  </v>
      </c>
      <c r="P18" s="37" t="str">
        <f>Tabela!$V$16 &amp; " " &amp;  Tabela!$W$16 &amp;  " " &amp;  Tabela!$X$16</f>
        <v xml:space="preserve">  </v>
      </c>
      <c r="Q18" s="37" t="str">
        <f>Tabela!$V$18 &amp; " " &amp;  Tabela!$W$18 &amp;  " " &amp;  Tabela!$X$18</f>
        <v xml:space="preserve">  </v>
      </c>
      <c r="R18" s="38" t="str">
        <f t="shared" si="8"/>
        <v xml:space="preserve">  </v>
      </c>
      <c r="S18" s="38" t="str">
        <f t="shared" si="8"/>
        <v xml:space="preserve">  </v>
      </c>
      <c r="T18" s="38" t="str">
        <f t="shared" si="8"/>
        <v xml:space="preserve">  </v>
      </c>
    </row>
    <row r="19" spans="1:20" ht="45" x14ac:dyDescent="0.25">
      <c r="A19" s="33">
        <f t="shared" si="5"/>
        <v>44295</v>
      </c>
      <c r="B19" s="34">
        <f t="shared" si="6"/>
        <v>6</v>
      </c>
      <c r="C19" s="35">
        <f>Tabela!$K$14</f>
        <v>0</v>
      </c>
      <c r="D19" s="35">
        <f>Tabela!$L$14</f>
        <v>0</v>
      </c>
      <c r="E19" s="35">
        <f>Tabela!$K$16</f>
        <v>0</v>
      </c>
      <c r="F19" s="35">
        <f>Tabela!$L$16</f>
        <v>0</v>
      </c>
      <c r="G19" s="35">
        <f>Tabela!$K$18</f>
        <v>0</v>
      </c>
      <c r="H19" s="35">
        <f>Tabela!$L$18</f>
        <v>0</v>
      </c>
      <c r="I19" s="36">
        <f t="shared" si="9"/>
        <v>0</v>
      </c>
      <c r="J19" s="36">
        <f t="shared" si="9"/>
        <v>0</v>
      </c>
      <c r="K19" s="36">
        <f t="shared" si="9"/>
        <v>0</v>
      </c>
      <c r="L19" s="36">
        <f t="shared" si="9"/>
        <v>0</v>
      </c>
      <c r="M19" s="36">
        <f t="shared" si="9"/>
        <v>0</v>
      </c>
      <c r="N19" s="36">
        <f t="shared" si="9"/>
        <v>0</v>
      </c>
      <c r="O19" s="37" t="str">
        <f>Tabela!$Y$14 &amp; " " &amp;  Tabela!$Z$14 &amp;  " " &amp;  Tabela!$AA$14</f>
        <v xml:space="preserve">  </v>
      </c>
      <c r="P19" s="37" t="str">
        <f>Tabela!$Y$16 &amp; " " &amp;  Tabela!$Z$16 &amp;  " " &amp;  Tabela!$AA$16</f>
        <v xml:space="preserve">  </v>
      </c>
      <c r="Q19" s="37" t="str">
        <f>Tabela!$Y$18 &amp; " " &amp;  Tabela!$Z$18 &amp;  " " &amp;  Tabela!$AA$18</f>
        <v xml:space="preserve">  </v>
      </c>
      <c r="R19" s="38" t="str">
        <f t="shared" si="8"/>
        <v xml:space="preserve">  </v>
      </c>
      <c r="S19" s="38" t="str">
        <f t="shared" si="8"/>
        <v xml:space="preserve">  </v>
      </c>
      <c r="T19" s="38" t="str">
        <f t="shared" si="8"/>
        <v xml:space="preserve">  </v>
      </c>
    </row>
    <row r="20" spans="1:20" x14ac:dyDescent="0.25">
      <c r="A20" s="33">
        <f t="shared" si="5"/>
        <v>0</v>
      </c>
      <c r="B20" s="34">
        <f t="shared" si="6"/>
        <v>7</v>
      </c>
      <c r="C20" s="35"/>
      <c r="D20" s="35"/>
      <c r="E20" s="35"/>
      <c r="F20" s="35"/>
      <c r="G20" s="35"/>
      <c r="H20" s="35"/>
      <c r="I20" s="36"/>
      <c r="J20" s="36"/>
      <c r="K20" s="36"/>
      <c r="L20" s="36"/>
      <c r="M20" s="36"/>
      <c r="N20" s="36"/>
      <c r="O20" s="37" t="str">
        <f>Tabela!$AB$14 &amp; " " &amp;  Tabela!$AC$14 &amp;  " " &amp;  Tabela!$AD$14</f>
        <v xml:space="preserve">  </v>
      </c>
      <c r="P20" s="37" t="str">
        <f>Tabela!$AB$16 &amp; " " &amp;  Tabela!$AC$16 &amp;  " " &amp;  Tabela!$AD$16</f>
        <v xml:space="preserve">  </v>
      </c>
      <c r="Q20" s="37" t="str">
        <f>Tabela!$AB$18 &amp; " " &amp;  Tabela!$AC$18 &amp;  " " &amp;  Tabela!$AD$18</f>
        <v xml:space="preserve">  </v>
      </c>
      <c r="R20" s="38" t="str">
        <f t="shared" si="8"/>
        <v xml:space="preserve">  </v>
      </c>
      <c r="S20" s="38" t="str">
        <f t="shared" si="8"/>
        <v xml:space="preserve">  </v>
      </c>
      <c r="T20" s="38" t="str">
        <f t="shared" si="8"/>
        <v xml:space="preserve">  </v>
      </c>
    </row>
    <row r="21" spans="1:20" x14ac:dyDescent="0.25">
      <c r="A21" s="33">
        <f t="shared" si="5"/>
        <v>0</v>
      </c>
      <c r="B21" s="34">
        <f t="shared" si="6"/>
        <v>7</v>
      </c>
      <c r="C21" s="35"/>
      <c r="D21" s="35"/>
      <c r="E21" s="35"/>
      <c r="F21" s="35"/>
      <c r="G21" s="35"/>
      <c r="H21" s="35"/>
      <c r="I21" s="36"/>
      <c r="J21" s="36"/>
      <c r="K21" s="36"/>
      <c r="L21" s="36"/>
      <c r="M21" s="36"/>
      <c r="N21" s="36"/>
      <c r="O21" s="37"/>
      <c r="P21" s="37"/>
      <c r="Q21" s="37"/>
      <c r="R21" s="38"/>
      <c r="S21" s="38"/>
      <c r="T21" s="38"/>
    </row>
    <row r="23" spans="1:20" x14ac:dyDescent="0.25">
      <c r="A23" s="27" t="s">
        <v>23</v>
      </c>
    </row>
    <row r="24" spans="1:20" ht="15" customHeight="1" x14ac:dyDescent="0.25">
      <c r="A24" s="146" t="s">
        <v>146</v>
      </c>
      <c r="B24" s="148" t="s">
        <v>147</v>
      </c>
      <c r="C24" s="150" t="s">
        <v>148</v>
      </c>
      <c r="D24" s="143"/>
      <c r="E24" s="148" t="s">
        <v>149</v>
      </c>
      <c r="F24" s="120"/>
      <c r="O24" s="107" t="s">
        <v>150</v>
      </c>
      <c r="P24" s="107" t="s">
        <v>151</v>
      </c>
    </row>
    <row r="25" spans="1:20" x14ac:dyDescent="0.25">
      <c r="A25" s="147"/>
      <c r="B25" s="147"/>
      <c r="C25" s="148" t="s">
        <v>24</v>
      </c>
      <c r="D25" s="120"/>
      <c r="E25" s="148" t="s">
        <v>24</v>
      </c>
      <c r="F25" s="120"/>
      <c r="O25" s="26" t="s">
        <v>24</v>
      </c>
      <c r="P25" s="26" t="s">
        <v>24</v>
      </c>
    </row>
    <row r="26" spans="1:20" ht="22.5" customHeight="1" x14ac:dyDescent="0.25">
      <c r="A26" s="33">
        <f t="shared" ref="A26:A32" si="10">A15</f>
        <v>44291</v>
      </c>
      <c r="B26" s="34">
        <f t="shared" ref="B26:B32" si="11">WEEKDAY(A26)</f>
        <v>2</v>
      </c>
      <c r="C26" s="35">
        <f>Tabela!C20</f>
        <v>0</v>
      </c>
      <c r="D26" s="35">
        <f>Tabela!D20</f>
        <v>0</v>
      </c>
      <c r="E26" s="36" t="str">
        <f>IF(RIGHT(C26,2)="°C",C26,C26&amp;" °C")</f>
        <v>0 °C</v>
      </c>
      <c r="F26" s="36" t="str">
        <f>IF(RIGHT(D26,2)="°C",D26,D26&amp;" °C")</f>
        <v>0 °C</v>
      </c>
      <c r="O26" s="37" t="str">
        <f>Tabela!$M$20 &amp; " " &amp;  Tabela!$N$20 &amp; " " &amp;  Tabela!$O$20</f>
        <v xml:space="preserve">  </v>
      </c>
      <c r="P26" s="38" t="str">
        <f>O26</f>
        <v xml:space="preserve">  </v>
      </c>
    </row>
    <row r="27" spans="1:20" ht="22.5" customHeight="1" x14ac:dyDescent="0.25">
      <c r="A27" s="33">
        <f t="shared" si="10"/>
        <v>44292</v>
      </c>
      <c r="B27" s="34">
        <f t="shared" si="11"/>
        <v>3</v>
      </c>
      <c r="C27" s="35">
        <f>Tabela!E20</f>
        <v>0</v>
      </c>
      <c r="D27" s="35">
        <f>Tabela!F20</f>
        <v>0</v>
      </c>
      <c r="E27" s="36">
        <f t="shared" ref="E27:F30" si="12">C27</f>
        <v>0</v>
      </c>
      <c r="F27" s="36">
        <f t="shared" si="12"/>
        <v>0</v>
      </c>
      <c r="O27" s="37" t="str">
        <f>Tabela!$P$20 &amp; " " &amp;  Tabela!$Q$20 &amp; " " &amp;  Tabela!$R$20</f>
        <v xml:space="preserve">  </v>
      </c>
      <c r="P27" s="38" t="str">
        <f>O27</f>
        <v xml:space="preserve">  </v>
      </c>
    </row>
    <row r="28" spans="1:20" ht="22.5" customHeight="1" x14ac:dyDescent="0.25">
      <c r="A28" s="33">
        <f t="shared" si="10"/>
        <v>44293</v>
      </c>
      <c r="B28" s="34">
        <f t="shared" si="11"/>
        <v>4</v>
      </c>
      <c r="C28" s="35">
        <f>Tabela!G20</f>
        <v>0</v>
      </c>
      <c r="D28" s="35">
        <f>Tabela!H20</f>
        <v>0</v>
      </c>
      <c r="E28" s="36">
        <f t="shared" si="12"/>
        <v>0</v>
      </c>
      <c r="F28" s="36">
        <f t="shared" si="12"/>
        <v>0</v>
      </c>
      <c r="O28" s="37" t="str">
        <f>Tabela!$S$20 &amp; " " &amp;  Tabela!$T$20 &amp; " " &amp;  Tabela!U20</f>
        <v xml:space="preserve">  </v>
      </c>
      <c r="P28" s="38" t="str">
        <f>O28</f>
        <v xml:space="preserve">  </v>
      </c>
    </row>
    <row r="29" spans="1:20" ht="22.5" x14ac:dyDescent="0.25">
      <c r="A29" s="33">
        <f t="shared" si="10"/>
        <v>44294</v>
      </c>
      <c r="B29" s="34">
        <f t="shared" si="11"/>
        <v>5</v>
      </c>
      <c r="C29" s="35">
        <f>Tabela!I20</f>
        <v>0</v>
      </c>
      <c r="D29" s="35">
        <f>Tabela!J20</f>
        <v>0</v>
      </c>
      <c r="E29" s="36">
        <f t="shared" si="12"/>
        <v>0</v>
      </c>
      <c r="F29" s="36">
        <f t="shared" si="12"/>
        <v>0</v>
      </c>
      <c r="O29" s="37" t="str">
        <f>Tabela!$V$20 &amp; " " &amp;  Tabela!$W$20 &amp; " " &amp;  Tabela!$X$20</f>
        <v xml:space="preserve">  </v>
      </c>
      <c r="P29" s="38" t="str">
        <f>O29</f>
        <v xml:space="preserve">  </v>
      </c>
    </row>
    <row r="30" spans="1:20" ht="22.5" x14ac:dyDescent="0.25">
      <c r="A30" s="33">
        <f t="shared" si="10"/>
        <v>44295</v>
      </c>
      <c r="B30" s="34">
        <f t="shared" si="11"/>
        <v>6</v>
      </c>
      <c r="C30" s="35">
        <f>Tabela!K20</f>
        <v>0</v>
      </c>
      <c r="D30" s="35">
        <f>Tabela!L20</f>
        <v>0</v>
      </c>
      <c r="E30" s="36">
        <f t="shared" si="12"/>
        <v>0</v>
      </c>
      <c r="F30" s="36">
        <f t="shared" si="12"/>
        <v>0</v>
      </c>
      <c r="O30" s="37" t="str">
        <f>Tabela!$Y$20 &amp; " " &amp;  Tabela!$Z$20 &amp; " " &amp;  Tabela!$AA$20</f>
        <v xml:space="preserve">  </v>
      </c>
      <c r="P30" s="38" t="str">
        <f>O30</f>
        <v xml:space="preserve">  </v>
      </c>
    </row>
    <row r="31" spans="1:20" x14ac:dyDescent="0.25">
      <c r="A31" s="33">
        <f t="shared" si="10"/>
        <v>0</v>
      </c>
      <c r="B31" s="34">
        <f t="shared" si="11"/>
        <v>7</v>
      </c>
      <c r="C31" s="35"/>
      <c r="D31" s="35"/>
      <c r="E31" s="36"/>
      <c r="F31" s="36"/>
      <c r="O31" s="37"/>
      <c r="P31" s="38"/>
    </row>
    <row r="32" spans="1:20" x14ac:dyDescent="0.25">
      <c r="A32" s="33">
        <f t="shared" si="10"/>
        <v>0</v>
      </c>
      <c r="B32" s="34">
        <f t="shared" si="11"/>
        <v>7</v>
      </c>
      <c r="C32" s="35"/>
      <c r="D32" s="35"/>
      <c r="E32" s="36"/>
      <c r="F32" s="36"/>
      <c r="O32" s="37"/>
      <c r="P32" s="38"/>
    </row>
  </sheetData>
  <mergeCells count="30">
    <mergeCell ref="C25:D25"/>
    <mergeCell ref="E25:F25"/>
    <mergeCell ref="C24:D24"/>
    <mergeCell ref="E24:F24"/>
    <mergeCell ref="A24:A25"/>
    <mergeCell ref="B24:B25"/>
    <mergeCell ref="O13:Q13"/>
    <mergeCell ref="R13:T13"/>
    <mergeCell ref="C14:D14"/>
    <mergeCell ref="E14:F14"/>
    <mergeCell ref="G14:H14"/>
    <mergeCell ref="I14:J14"/>
    <mergeCell ref="K14:L14"/>
    <mergeCell ref="M14:N14"/>
    <mergeCell ref="A13:A14"/>
    <mergeCell ref="B13:B14"/>
    <mergeCell ref="C13:H13"/>
    <mergeCell ref="I13:N13"/>
    <mergeCell ref="A2:A3"/>
    <mergeCell ref="B2:B3"/>
    <mergeCell ref="O2:S2"/>
    <mergeCell ref="T2:X2"/>
    <mergeCell ref="C3:D3"/>
    <mergeCell ref="E3:F3"/>
    <mergeCell ref="G3:H3"/>
    <mergeCell ref="I3:J3"/>
    <mergeCell ref="K3:L3"/>
    <mergeCell ref="M3:N3"/>
    <mergeCell ref="C2:H2"/>
    <mergeCell ref="I2:N2"/>
  </mergeCells>
  <conditionalFormatting sqref="O4:X4 C17:H17 C20:H20 C9:H9">
    <cfRule type="expression" dxfId="195" priority="154">
      <formula>$D4=TODAY()</formula>
    </cfRule>
    <cfRule type="expression" dxfId="194" priority="155">
      <formula>$E4=1</formula>
    </cfRule>
    <cfRule type="expression" dxfId="193" priority="156">
      <formula>$E4=7</formula>
    </cfRule>
  </conditionalFormatting>
  <conditionalFormatting sqref="T5:X9">
    <cfRule type="expression" dxfId="192" priority="157">
      <formula>$J5=TODAY()</formula>
    </cfRule>
    <cfRule type="expression" dxfId="191" priority="158">
      <formula>$K5=1</formula>
    </cfRule>
    <cfRule type="expression" dxfId="190" priority="159">
      <formula>$K5=7</formula>
    </cfRule>
  </conditionalFormatting>
  <conditionalFormatting sqref="T10:X10">
    <cfRule type="expression" dxfId="189" priority="163">
      <formula>$J10=TODAY()</formula>
    </cfRule>
    <cfRule type="expression" dxfId="188" priority="164">
      <formula>$K10=1</formula>
    </cfRule>
    <cfRule type="expression" dxfId="187" priority="165">
      <formula>$K10=7</formula>
    </cfRule>
  </conditionalFormatting>
  <conditionalFormatting sqref="O9:S9">
    <cfRule type="expression" dxfId="186" priority="133">
      <formula>$J10=TODAY()</formula>
    </cfRule>
    <cfRule type="expression" dxfId="185" priority="134">
      <formula>$K10=1</formula>
    </cfRule>
    <cfRule type="expression" dxfId="184" priority="135">
      <formula>$K10=7</formula>
    </cfRule>
  </conditionalFormatting>
  <conditionalFormatting sqref="R7:S7">
    <cfRule type="expression" dxfId="183" priority="130">
      <formula>$J8=TODAY()</formula>
    </cfRule>
    <cfRule type="expression" dxfId="182" priority="131">
      <formula>$K8=1</formula>
    </cfRule>
    <cfRule type="expression" dxfId="181" priority="132">
      <formula>$K8=7</formula>
    </cfRule>
  </conditionalFormatting>
  <conditionalFormatting sqref="I6:N7 I9:N10">
    <cfRule type="expression" dxfId="180" priority="103">
      <formula>$J5=TODAY()</formula>
    </cfRule>
    <cfRule type="expression" dxfId="179" priority="104">
      <formula>$K5=1</formula>
    </cfRule>
    <cfRule type="expression" dxfId="178" priority="105">
      <formula>$K5=7</formula>
    </cfRule>
  </conditionalFormatting>
  <conditionalFormatting sqref="C16:H16">
    <cfRule type="expression" dxfId="177" priority="88">
      <formula>$D16=TODAY()</formula>
    </cfRule>
    <cfRule type="expression" dxfId="176" priority="89">
      <formula>$E16=1</formula>
    </cfRule>
    <cfRule type="expression" dxfId="175" priority="90">
      <formula>$E16=7</formula>
    </cfRule>
  </conditionalFormatting>
  <conditionalFormatting sqref="I15:N18">
    <cfRule type="expression" dxfId="174" priority="82">
      <formula>$D14=TODAY()</formula>
    </cfRule>
    <cfRule type="expression" dxfId="173" priority="83">
      <formula>$E14=1</formula>
    </cfRule>
    <cfRule type="expression" dxfId="172" priority="84">
      <formula>$E14=7</formula>
    </cfRule>
  </conditionalFormatting>
  <conditionalFormatting sqref="R16:T20">
    <cfRule type="expression" dxfId="171" priority="175">
      <formula>$J16=TODAY()</formula>
    </cfRule>
    <cfRule type="expression" dxfId="170" priority="176">
      <formula>$K16=1</formula>
    </cfRule>
    <cfRule type="expression" dxfId="169" priority="177">
      <formula>$K16=7</formula>
    </cfRule>
  </conditionalFormatting>
  <conditionalFormatting sqref="O15">
    <cfRule type="expression" dxfId="168" priority="172">
      <formula>#REF!=TODAY()</formula>
    </cfRule>
    <cfRule type="expression" dxfId="167" priority="173">
      <formula>#REF!=1</formula>
    </cfRule>
    <cfRule type="expression" dxfId="166" priority="174">
      <formula>#REF!=7</formula>
    </cfRule>
  </conditionalFormatting>
  <conditionalFormatting sqref="O17:O18">
    <cfRule type="expression" dxfId="165" priority="169">
      <formula>#REF!=TODAY()</formula>
    </cfRule>
    <cfRule type="expression" dxfId="164" priority="170">
      <formula>#REF!=1</formula>
    </cfRule>
    <cfRule type="expression" dxfId="163" priority="171">
      <formula>#REF!=7</formula>
    </cfRule>
  </conditionalFormatting>
  <conditionalFormatting sqref="O6:S6">
    <cfRule type="expression" dxfId="162" priority="166">
      <formula>$J6=TODAY()</formula>
    </cfRule>
    <cfRule type="expression" dxfId="161" priority="167">
      <formula>$K6=1</formula>
    </cfRule>
    <cfRule type="expression" dxfId="160" priority="168">
      <formula>$K6=7</formula>
    </cfRule>
  </conditionalFormatting>
  <conditionalFormatting sqref="P15:Q15">
    <cfRule type="expression" dxfId="159" priority="178">
      <formula>#REF!=TODAY()</formula>
    </cfRule>
  </conditionalFormatting>
  <conditionalFormatting sqref="P17">
    <cfRule type="expression" dxfId="158" priority="160">
      <formula>#REF!=TODAY()</formula>
    </cfRule>
    <cfRule type="expression" dxfId="157" priority="161">
      <formula>#REF!=1</formula>
    </cfRule>
    <cfRule type="expression" dxfId="156" priority="162">
      <formula>#REF!=7</formula>
    </cfRule>
  </conditionalFormatting>
  <conditionalFormatting sqref="Q17">
    <cfRule type="expression" dxfId="155" priority="179">
      <formula>#REF!=TODAY()</formula>
    </cfRule>
  </conditionalFormatting>
  <conditionalFormatting sqref="O7:Q7">
    <cfRule type="expression" dxfId="154" priority="180">
      <formula>$J8=TODAY()</formula>
    </cfRule>
  </conditionalFormatting>
  <conditionalFormatting sqref="O8:Q8">
    <cfRule type="expression" dxfId="153" priority="151">
      <formula>$J9=TODAY()</formula>
    </cfRule>
    <cfRule type="expression" dxfId="152" priority="152">
      <formula>$K9=1</formula>
    </cfRule>
    <cfRule type="expression" dxfId="151" priority="153">
      <formula>$K9=7</formula>
    </cfRule>
  </conditionalFormatting>
  <conditionalFormatting sqref="P18">
    <cfRule type="expression" dxfId="150" priority="148">
      <formula>#REF!=TODAY()</formula>
    </cfRule>
    <cfRule type="expression" dxfId="149" priority="149">
      <formula>#REF!=1</formula>
    </cfRule>
    <cfRule type="expression" dxfId="148" priority="150">
      <formula>#REF!=7</formula>
    </cfRule>
  </conditionalFormatting>
  <conditionalFormatting sqref="Q18">
    <cfRule type="expression" dxfId="147" priority="145">
      <formula>#REF!=TODAY()</formula>
    </cfRule>
    <cfRule type="expression" dxfId="146" priority="146">
      <formula>#REF!=1</formula>
    </cfRule>
    <cfRule type="expression" dxfId="145" priority="147">
      <formula>#REF!=7</formula>
    </cfRule>
  </conditionalFormatting>
  <conditionalFormatting sqref="O19">
    <cfRule type="expression" dxfId="144" priority="142">
      <formula>#REF!=TODAY()</formula>
    </cfRule>
    <cfRule type="expression" dxfId="143" priority="143">
      <formula>#REF!=1</formula>
    </cfRule>
    <cfRule type="expression" dxfId="142" priority="144">
      <formula>#REF!=7</formula>
    </cfRule>
  </conditionalFormatting>
  <conditionalFormatting sqref="P19">
    <cfRule type="expression" dxfId="141" priority="139">
      <formula>#REF!=TODAY()</formula>
    </cfRule>
    <cfRule type="expression" dxfId="140" priority="140">
      <formula>#REF!=1</formula>
    </cfRule>
    <cfRule type="expression" dxfId="139" priority="141">
      <formula>#REF!=7</formula>
    </cfRule>
  </conditionalFormatting>
  <conditionalFormatting sqref="Q19">
    <cfRule type="expression" dxfId="138" priority="136">
      <formula>#REF!=TODAY()</formula>
    </cfRule>
    <cfRule type="expression" dxfId="137" priority="137">
      <formula>#REF!=1</formula>
    </cfRule>
    <cfRule type="expression" dxfId="136" priority="138">
      <formula>#REF!=7</formula>
    </cfRule>
  </conditionalFormatting>
  <conditionalFormatting sqref="R8:S8">
    <cfRule type="expression" dxfId="135" priority="127">
      <formula>$J9=TODAY()</formula>
    </cfRule>
    <cfRule type="expression" dxfId="134" priority="128">
      <formula>$K9=1</formula>
    </cfRule>
    <cfRule type="expression" dxfId="133" priority="129">
      <formula>$K9=7</formula>
    </cfRule>
  </conditionalFormatting>
  <conditionalFormatting sqref="O20">
    <cfRule type="expression" dxfId="132" priority="124">
      <formula>#REF!=TODAY()</formula>
    </cfRule>
    <cfRule type="expression" dxfId="131" priority="125">
      <formula>#REF!=1</formula>
    </cfRule>
    <cfRule type="expression" dxfId="130" priority="126">
      <formula>#REF!=7</formula>
    </cfRule>
  </conditionalFormatting>
  <conditionalFormatting sqref="P20">
    <cfRule type="expression" dxfId="129" priority="121">
      <formula>#REF!=TODAY()</formula>
    </cfRule>
    <cfRule type="expression" dxfId="128" priority="122">
      <formula>#REF!=1</formula>
    </cfRule>
    <cfRule type="expression" dxfId="127" priority="123">
      <formula>#REF!=7</formula>
    </cfRule>
  </conditionalFormatting>
  <conditionalFormatting sqref="Q20">
    <cfRule type="expression" dxfId="126" priority="118">
      <formula>#REF!=TODAY()</formula>
    </cfRule>
    <cfRule type="expression" dxfId="125" priority="119">
      <formula>#REF!=1</formula>
    </cfRule>
    <cfRule type="expression" dxfId="124" priority="120">
      <formula>#REF!=7</formula>
    </cfRule>
  </conditionalFormatting>
  <conditionalFormatting sqref="O5:S5">
    <cfRule type="expression" dxfId="123" priority="115">
      <formula>$J5=TODAY()</formula>
    </cfRule>
    <cfRule type="expression" dxfId="122" priority="116">
      <formula>$K5=1</formula>
    </cfRule>
    <cfRule type="expression" dxfId="121" priority="117">
      <formula>$K5=7</formula>
    </cfRule>
  </conditionalFormatting>
  <conditionalFormatting sqref="O16">
    <cfRule type="expression" dxfId="120" priority="112">
      <formula>#REF!=TODAY()</formula>
    </cfRule>
    <cfRule type="expression" dxfId="119" priority="113">
      <formula>#REF!=1</formula>
    </cfRule>
    <cfRule type="expression" dxfId="118" priority="114">
      <formula>#REF!=7</formula>
    </cfRule>
  </conditionalFormatting>
  <conditionalFormatting sqref="P16:Q16">
    <cfRule type="expression" dxfId="117" priority="109">
      <formula>#REF!=TODAY()</formula>
    </cfRule>
    <cfRule type="expression" dxfId="116" priority="110">
      <formula>#REF!=1</formula>
    </cfRule>
    <cfRule type="expression" dxfId="115" priority="111">
      <formula>#REF!=7</formula>
    </cfRule>
  </conditionalFormatting>
  <conditionalFormatting sqref="R15:T15 P26">
    <cfRule type="expression" dxfId="114" priority="181">
      <formula>$D15=TODAY()</formula>
    </cfRule>
  </conditionalFormatting>
  <conditionalFormatting sqref="I4:N4">
    <cfRule type="expression" dxfId="113" priority="85">
      <formula>$D3=TODAY()</formula>
    </cfRule>
    <cfRule type="expression" dxfId="112" priority="86">
      <formula>$E3=1</formula>
    </cfRule>
    <cfRule type="expression" dxfId="111" priority="87">
      <formula>$E3=7</formula>
    </cfRule>
  </conditionalFormatting>
  <conditionalFormatting sqref="C4:H4 C15:H15 C6:H7">
    <cfRule type="expression" dxfId="110" priority="97">
      <formula>$D4=TODAY()</formula>
    </cfRule>
    <cfRule type="expression" dxfId="109" priority="98">
      <formula>$E4=1</formula>
    </cfRule>
    <cfRule type="expression" dxfId="108" priority="99">
      <formula>$E4=7</formula>
    </cfRule>
  </conditionalFormatting>
  <conditionalFormatting sqref="A4:B10">
    <cfRule type="expression" dxfId="107" priority="100">
      <formula>$B4=TODAY()</formula>
    </cfRule>
    <cfRule type="expression" dxfId="106" priority="101">
      <formula>#REF!=1</formula>
    </cfRule>
    <cfRule type="expression" dxfId="105" priority="102">
      <formula>#REF!=7</formula>
    </cfRule>
  </conditionalFormatting>
  <conditionalFormatting sqref="C5:H5">
    <cfRule type="expression" dxfId="104" priority="94">
      <formula>$D5=TODAY()</formula>
    </cfRule>
    <cfRule type="expression" dxfId="103" priority="95">
      <formula>$E5=1</formula>
    </cfRule>
    <cfRule type="expression" dxfId="102" priority="96">
      <formula>$E5=7</formula>
    </cfRule>
  </conditionalFormatting>
  <conditionalFormatting sqref="A15:B18 A20:B21 A19">
    <cfRule type="expression" dxfId="101" priority="91">
      <formula>$B15=TODAY()</formula>
    </cfRule>
    <cfRule type="expression" dxfId="100" priority="92">
      <formula>#REF!=1</formula>
    </cfRule>
    <cfRule type="expression" dxfId="99" priority="93">
      <formula>#REF!=7</formula>
    </cfRule>
  </conditionalFormatting>
  <conditionalFormatting sqref="I5:N5">
    <cfRule type="expression" dxfId="98" priority="106">
      <formula>$D4=TODAY()</formula>
    </cfRule>
    <cfRule type="expression" dxfId="97" priority="107">
      <formula>$E4=1</formula>
    </cfRule>
    <cfRule type="expression" dxfId="96" priority="108">
      <formula>$E4=7</formula>
    </cfRule>
  </conditionalFormatting>
  <conditionalFormatting sqref="O10:S10">
    <cfRule type="expression" dxfId="95" priority="79">
      <formula>$J11=TODAY()</formula>
    </cfRule>
    <cfRule type="expression" dxfId="94" priority="80">
      <formula>$K11=1</formula>
    </cfRule>
    <cfRule type="expression" dxfId="93" priority="81">
      <formula>$K11=7</formula>
    </cfRule>
  </conditionalFormatting>
  <conditionalFormatting sqref="I20:N20">
    <cfRule type="expression" dxfId="92" priority="182">
      <formula>#REF!=TODAY()</formula>
    </cfRule>
    <cfRule type="expression" dxfId="91" priority="183">
      <formula>#REF!=1</formula>
    </cfRule>
    <cfRule type="expression" dxfId="90" priority="184">
      <formula>#REF!=7</formula>
    </cfRule>
  </conditionalFormatting>
  <conditionalFormatting sqref="C18:H18">
    <cfRule type="expression" dxfId="89" priority="76">
      <formula>$D18=TODAY()</formula>
    </cfRule>
    <cfRule type="expression" dxfId="88" priority="77">
      <formula>$E18=1</formula>
    </cfRule>
    <cfRule type="expression" dxfId="87" priority="78">
      <formula>$E18=7</formula>
    </cfRule>
  </conditionalFormatting>
  <conditionalFormatting sqref="O26">
    <cfRule type="expression" dxfId="86" priority="73">
      <formula>#REF!=TODAY()</formula>
    </cfRule>
    <cfRule type="expression" dxfId="85" priority="74">
      <formula>#REF!=1</formula>
    </cfRule>
    <cfRule type="expression" dxfId="84" priority="75">
      <formula>#REF!=7</formula>
    </cfRule>
  </conditionalFormatting>
  <conditionalFormatting sqref="O28:O29">
    <cfRule type="expression" dxfId="83" priority="70">
      <formula>#REF!=TODAY()</formula>
    </cfRule>
    <cfRule type="expression" dxfId="82" priority="71">
      <formula>#REF!=1</formula>
    </cfRule>
    <cfRule type="expression" dxfId="81" priority="72">
      <formula>#REF!=7</formula>
    </cfRule>
  </conditionalFormatting>
  <conditionalFormatting sqref="O30">
    <cfRule type="expression" dxfId="80" priority="67">
      <formula>#REF!=TODAY()</formula>
    </cfRule>
    <cfRule type="expression" dxfId="79" priority="68">
      <formula>#REF!=1</formula>
    </cfRule>
    <cfRule type="expression" dxfId="78" priority="69">
      <formula>#REF!=7</formula>
    </cfRule>
  </conditionalFormatting>
  <conditionalFormatting sqref="O31">
    <cfRule type="expression" dxfId="77" priority="64">
      <formula>#REF!=TODAY()</formula>
    </cfRule>
    <cfRule type="expression" dxfId="76" priority="65">
      <formula>#REF!=1</formula>
    </cfRule>
    <cfRule type="expression" dxfId="75" priority="66">
      <formula>#REF!=7</formula>
    </cfRule>
  </conditionalFormatting>
  <conditionalFormatting sqref="O27">
    <cfRule type="expression" dxfId="74" priority="61">
      <formula>#REF!=TODAY()</formula>
    </cfRule>
    <cfRule type="expression" dxfId="73" priority="62">
      <formula>#REF!=1</formula>
    </cfRule>
    <cfRule type="expression" dxfId="72" priority="63">
      <formula>#REF!=7</formula>
    </cfRule>
  </conditionalFormatting>
  <conditionalFormatting sqref="A26:B32">
    <cfRule type="expression" dxfId="71" priority="58">
      <formula>$B26=TODAY()</formula>
    </cfRule>
    <cfRule type="expression" dxfId="70" priority="59">
      <formula>#REF!=1</formula>
    </cfRule>
    <cfRule type="expression" dxfId="69" priority="60">
      <formula>#REF!=7</formula>
    </cfRule>
  </conditionalFormatting>
  <conditionalFormatting sqref="C26:D29">
    <cfRule type="expression" dxfId="68" priority="185">
      <formula>$D26=TODAY()</formula>
    </cfRule>
    <cfRule type="expression" dxfId="67" priority="186">
      <formula>#REF!=1</formula>
    </cfRule>
    <cfRule type="expression" dxfId="66" priority="187">
      <formula>#REF!=7</formula>
    </cfRule>
  </conditionalFormatting>
  <conditionalFormatting sqref="E26:F29">
    <cfRule type="expression" dxfId="65" priority="188">
      <formula>$D25=TODAY()</formula>
    </cfRule>
    <cfRule type="expression" dxfId="64" priority="189">
      <formula>#REF!=1</formula>
    </cfRule>
    <cfRule type="expression" dxfId="63" priority="190">
      <formula>#REF!=7</formula>
    </cfRule>
  </conditionalFormatting>
  <conditionalFormatting sqref="P27:P31">
    <cfRule type="expression" dxfId="62" priority="191">
      <formula>$F27=TODAY()</formula>
    </cfRule>
    <cfRule type="expression" dxfId="61" priority="192">
      <formula>$K27=1</formula>
    </cfRule>
    <cfRule type="expression" dxfId="60" priority="193">
      <formula>$K27=7</formula>
    </cfRule>
  </conditionalFormatting>
  <conditionalFormatting sqref="D10:H10">
    <cfRule type="expression" dxfId="59" priority="194">
      <formula>#REF!=TODAY()</formula>
    </cfRule>
    <cfRule type="expression" dxfId="58" priority="195">
      <formula>$E10=1</formula>
    </cfRule>
    <cfRule type="expression" dxfId="57" priority="196">
      <formula>$E10=7</formula>
    </cfRule>
  </conditionalFormatting>
  <conditionalFormatting sqref="C21:H21">
    <cfRule type="expression" dxfId="56" priority="49">
      <formula>$D21=TODAY()</formula>
    </cfRule>
    <cfRule type="expression" dxfId="55" priority="50">
      <formula>$E21=1</formula>
    </cfRule>
    <cfRule type="expression" dxfId="54" priority="51">
      <formula>$E21=7</formula>
    </cfRule>
  </conditionalFormatting>
  <conditionalFormatting sqref="R21:T21">
    <cfRule type="expression" dxfId="53" priority="52">
      <formula>$J21=TODAY()</formula>
    </cfRule>
    <cfRule type="expression" dxfId="52" priority="53">
      <formula>$K21=1</formula>
    </cfRule>
    <cfRule type="expression" dxfId="51" priority="54">
      <formula>$K21=7</formula>
    </cfRule>
  </conditionalFormatting>
  <conditionalFormatting sqref="O21">
    <cfRule type="expression" dxfId="50" priority="46">
      <formula>#REF!=TODAY()</formula>
    </cfRule>
    <cfRule type="expression" dxfId="49" priority="47">
      <formula>#REF!=1</formula>
    </cfRule>
    <cfRule type="expression" dxfId="48" priority="48">
      <formula>#REF!=7</formula>
    </cfRule>
  </conditionalFormatting>
  <conditionalFormatting sqref="P21">
    <cfRule type="expression" dxfId="47" priority="43">
      <formula>#REF!=TODAY()</formula>
    </cfRule>
    <cfRule type="expression" dxfId="46" priority="44">
      <formula>#REF!=1</formula>
    </cfRule>
    <cfRule type="expression" dxfId="45" priority="45">
      <formula>#REF!=7</formula>
    </cfRule>
  </conditionalFormatting>
  <conditionalFormatting sqref="Q21">
    <cfRule type="expression" dxfId="44" priority="40">
      <formula>#REF!=TODAY()</formula>
    </cfRule>
    <cfRule type="expression" dxfId="43" priority="41">
      <formula>#REF!=1</formula>
    </cfRule>
    <cfRule type="expression" dxfId="42" priority="42">
      <formula>#REF!=7</formula>
    </cfRule>
  </conditionalFormatting>
  <conditionalFormatting sqref="I21:N21">
    <cfRule type="expression" dxfId="41" priority="55">
      <formula>#REF!=TODAY()</formula>
    </cfRule>
    <cfRule type="expression" dxfId="40" priority="56">
      <formula>#REF!=1</formula>
    </cfRule>
    <cfRule type="expression" dxfId="39" priority="57">
      <formula>#REF!=7</formula>
    </cfRule>
  </conditionalFormatting>
  <conditionalFormatting sqref="C31:D31">
    <cfRule type="expression" dxfId="38" priority="34">
      <formula>$D31=TODAY()</formula>
    </cfRule>
    <cfRule type="expression" dxfId="37" priority="35">
      <formula>#REF!=1</formula>
    </cfRule>
    <cfRule type="expression" dxfId="36" priority="36">
      <formula>#REF!=7</formula>
    </cfRule>
  </conditionalFormatting>
  <conditionalFormatting sqref="E31:F31">
    <cfRule type="expression" dxfId="35" priority="37">
      <formula>$D30=TODAY()</formula>
    </cfRule>
    <cfRule type="expression" dxfId="34" priority="38">
      <formula>#REF!=1</formula>
    </cfRule>
    <cfRule type="expression" dxfId="33" priority="39">
      <formula>#REF!=7</formula>
    </cfRule>
  </conditionalFormatting>
  <conditionalFormatting sqref="O32">
    <cfRule type="expression" dxfId="32" priority="28">
      <formula>#REF!=TODAY()</formula>
    </cfRule>
    <cfRule type="expression" dxfId="31" priority="29">
      <formula>#REF!=1</formula>
    </cfRule>
    <cfRule type="expression" dxfId="30" priority="30">
      <formula>#REF!=7</formula>
    </cfRule>
  </conditionalFormatting>
  <conditionalFormatting sqref="P32">
    <cfRule type="expression" dxfId="29" priority="31">
      <formula>$F32=TODAY()</formula>
    </cfRule>
    <cfRule type="expression" dxfId="28" priority="32">
      <formula>$K32=1</formula>
    </cfRule>
    <cfRule type="expression" dxfId="27" priority="33">
      <formula>$K32=7</formula>
    </cfRule>
  </conditionalFormatting>
  <conditionalFormatting sqref="C32:D32">
    <cfRule type="expression" dxfId="26" priority="22">
      <formula>$D32=TODAY()</formula>
    </cfRule>
    <cfRule type="expression" dxfId="25" priority="23">
      <formula>#REF!=1</formula>
    </cfRule>
    <cfRule type="expression" dxfId="24" priority="24">
      <formula>#REF!=7</formula>
    </cfRule>
  </conditionalFormatting>
  <conditionalFormatting sqref="E32:F32">
    <cfRule type="expression" dxfId="23" priority="25">
      <formula>$D31=TODAY()</formula>
    </cfRule>
    <cfRule type="expression" dxfId="22" priority="26">
      <formula>#REF!=1</formula>
    </cfRule>
    <cfRule type="expression" dxfId="21" priority="27">
      <formula>#REF!=7</formula>
    </cfRule>
  </conditionalFormatting>
  <conditionalFormatting sqref="I8:N8">
    <cfRule type="expression" dxfId="20" priority="19">
      <formula>$J7=TODAY()</formula>
    </cfRule>
    <cfRule type="expression" dxfId="19" priority="20">
      <formula>$K7=1</formula>
    </cfRule>
    <cfRule type="expression" dxfId="18" priority="21">
      <formula>$K7=7</formula>
    </cfRule>
  </conditionalFormatting>
  <conditionalFormatting sqref="C8:H8">
    <cfRule type="expression" dxfId="17" priority="16">
      <formula>$D8=TODAY()</formula>
    </cfRule>
    <cfRule type="expression" dxfId="16" priority="17">
      <formula>$E8=1</formula>
    </cfRule>
    <cfRule type="expression" dxfId="15" priority="18">
      <formula>$E8=7</formula>
    </cfRule>
  </conditionalFormatting>
  <conditionalFormatting sqref="B19">
    <cfRule type="expression" dxfId="14" priority="13">
      <formula>$B19=TODAY()</formula>
    </cfRule>
    <cfRule type="expression" dxfId="13" priority="14">
      <formula>#REF!=1</formula>
    </cfRule>
    <cfRule type="expression" dxfId="12" priority="15">
      <formula>#REF!=7</formula>
    </cfRule>
  </conditionalFormatting>
  <conditionalFormatting sqref="I19:N19">
    <cfRule type="expression" dxfId="11" priority="10">
      <formula>$J18=TODAY()</formula>
    </cfRule>
    <cfRule type="expression" dxfId="10" priority="11">
      <formula>$K18=1</formula>
    </cfRule>
    <cfRule type="expression" dxfId="9" priority="12">
      <formula>$K18=7</formula>
    </cfRule>
  </conditionalFormatting>
  <conditionalFormatting sqref="C19:H19">
    <cfRule type="expression" dxfId="8" priority="7">
      <formula>$D19=TODAY()</formula>
    </cfRule>
    <cfRule type="expression" dxfId="7" priority="8">
      <formula>$E19=1</formula>
    </cfRule>
    <cfRule type="expression" dxfId="6" priority="9">
      <formula>$E19=7</formula>
    </cfRule>
  </conditionalFormatting>
  <conditionalFormatting sqref="C30:D30">
    <cfRule type="expression" dxfId="5" priority="1">
      <formula>$D30=TODAY()</formula>
    </cfRule>
    <cfRule type="expression" dxfId="4" priority="2">
      <formula>#REF!=1</formula>
    </cfRule>
    <cfRule type="expression" dxfId="3" priority="3">
      <formula>#REF!=7</formula>
    </cfRule>
  </conditionalFormatting>
  <conditionalFormatting sqref="E30:F30">
    <cfRule type="expression" dxfId="2" priority="4">
      <formula>$D29=TODAY()</formula>
    </cfRule>
    <cfRule type="expression" dxfId="1" priority="5">
      <formula>#REF!=1</formula>
    </cfRule>
    <cfRule type="expression" dxfId="0" priority="6">
      <formula>#REF!=7</formula>
    </cfRule>
  </conditionalFormatting>
  <pageMargins left="0.511811024" right="0.511811024" top="0.78740157499999996" bottom="0.78740157499999996" header="0.31496062000000002" footer="0.31496062000000002"/>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630</vt:i4>
      </vt:variant>
    </vt:vector>
  </HeadingPairs>
  <TitlesOfParts>
    <vt:vector size="634" baseType="lpstr">
      <vt:lpstr>Tabela</vt:lpstr>
      <vt:lpstr>Combos</vt:lpstr>
      <vt:lpstr>Temperatura+Umidade+Site</vt:lpstr>
      <vt:lpstr>Requisa</vt:lpstr>
      <vt:lpstr>'Temperatura+Umidade+Site'!tempoCapitais.php?data</vt:lpstr>
      <vt:lpstr>'Temperatura+Umidade+Site'!tempoCapitais.php?data________________1</vt:lpstr>
      <vt:lpstr>'Temperatura+Umidade+Site'!tempoCapitais.php?data__1</vt:lpstr>
      <vt:lpstr>'Temperatura+Umidade+Site'!tempoCapitais.php?data__10</vt:lpstr>
      <vt:lpstr>'Temperatura+Umidade+Site'!tempoCapitais.php?data__2</vt:lpstr>
      <vt:lpstr>'Temperatura+Umidade+Site'!tempoCapitais.php?data__3</vt:lpstr>
      <vt:lpstr>'Temperatura+Umidade+Site'!tempoCapitais.php?data__4</vt:lpstr>
      <vt:lpstr>'Temperatura+Umidade+Site'!tempoCapitais.php?data__5</vt:lpstr>
      <vt:lpstr>'Temperatura+Umidade+Site'!tempoCapitais.php?data__6</vt:lpstr>
      <vt:lpstr>'Temperatura+Umidade+Site'!tempoCapitais.php?data__7</vt:lpstr>
      <vt:lpstr>'Temperatura+Umidade+Site'!tempoCapitais.php?data__8</vt:lpstr>
      <vt:lpstr>'Temperatura+Umidade+Site'!tempoCapitais.php?data__9</vt:lpstr>
      <vt:lpstr>'Temperatura+Umidade+Site'!tempoCapitais.php?data__VALOR</vt:lpstr>
      <vt:lpstr>'Temperatura+Umidade+Site'!tempoCapitais.php?data_13_01_2018</vt:lpstr>
      <vt:lpstr>'Temperatura+Umidade+Site'!tempoCapitais.php?data_1900_01_01</vt:lpstr>
      <vt:lpstr>'Temperatura+Umidade+Site'!tempoCapitais.php?data_1900_02_01</vt:lpstr>
      <vt:lpstr>'Temperatura+Umidade+Site'!tempoCapitais.php?data_2015_01_17</vt:lpstr>
      <vt:lpstr>'Temperatura+Umidade+Site'!tempoCapitais.php?data_2018_01_13</vt:lpstr>
      <vt:lpstr>'Temperatura+Umidade+Site'!tempoCapitais.php?data_2018_01_13_1</vt:lpstr>
      <vt:lpstr>'Temperatura+Umidade+Site'!tempoCapitais.php?data_2018_01_13_2</vt:lpstr>
      <vt:lpstr>'Temperatura+Umidade+Site'!tempoCapitais.php?data_2018_01_15</vt:lpstr>
      <vt:lpstr>'Temperatura+Umidade+Site'!tempoCapitais.php?data_2018_01_15_1</vt:lpstr>
      <vt:lpstr>'Temperatura+Umidade+Site'!tempoCapitais.php?data_2018_01_15_2</vt:lpstr>
      <vt:lpstr>'Temperatura+Umidade+Site'!tempoCapitais.php?data_2018_01_15_3</vt:lpstr>
      <vt:lpstr>'Temperatura+Umidade+Site'!tempoCapitais.php?data_2018_01_15_5</vt:lpstr>
      <vt:lpstr>'Temperatura+Umidade+Site'!tempoCapitais.php?data_2018_01_16_2</vt:lpstr>
      <vt:lpstr>'Temperatura+Umidade+Site'!tempoCapitais.php?data_2018_01_17</vt:lpstr>
      <vt:lpstr>'Temperatura+Umidade+Site'!tempoCapitais.php?data_2018_01_18</vt:lpstr>
      <vt:lpstr>'Temperatura+Umidade+Site'!tempoCapitais.php?data_2018_01_23</vt:lpstr>
      <vt:lpstr>'Temperatura+Umidade+Site'!tempoCapitais.php?data_2018_01_24</vt:lpstr>
      <vt:lpstr>'Temperatura+Umidade+Site'!tempoCapitais.php?data_2018_01_25</vt:lpstr>
      <vt:lpstr>'Temperatura+Umidade+Site'!tempoCapitais.php?data_2018_01_25_1</vt:lpstr>
      <vt:lpstr>'Temperatura+Umidade+Site'!tempoCapitais.php?data_2018_01_28</vt:lpstr>
      <vt:lpstr>'Temperatura+Umidade+Site'!tempoCapitais.php?data_2018_02_13</vt:lpstr>
      <vt:lpstr>'Temperatura+Umidade+Site'!tempoCapitais.php?data_2018_02_16</vt:lpstr>
      <vt:lpstr>'Temperatura+Umidade+Site'!tempoCapitais.php?data_2018_02_18</vt:lpstr>
      <vt:lpstr>'Temperatura+Umidade+Site'!tempoCapitais.php?data_2018_02_18_1</vt:lpstr>
      <vt:lpstr>'Temperatura+Umidade+Site'!tempoCapitais.php?data_2018_02_19</vt:lpstr>
      <vt:lpstr>'Temperatura+Umidade+Site'!tempoCapitais.php?data_2018_02_20</vt:lpstr>
      <vt:lpstr>'Temperatura+Umidade+Site'!tempoCapitais.php?data_2018_02_21</vt:lpstr>
      <vt:lpstr>'Temperatura+Umidade+Site'!tempoCapitais.php?data_2018_02_22</vt:lpstr>
      <vt:lpstr>'Temperatura+Umidade+Site'!tempoCapitais.php?data_2018_02_25</vt:lpstr>
      <vt:lpstr>'Temperatura+Umidade+Site'!tempoCapitais.php?data_2018_02_26</vt:lpstr>
      <vt:lpstr>'Temperatura+Umidade+Site'!tempoCapitais.php?data_2018_02_27</vt:lpstr>
      <vt:lpstr>'Temperatura+Umidade+Site'!tempoCapitais.php?data_2018_02_28</vt:lpstr>
      <vt:lpstr>'Temperatura+Umidade+Site'!tempoCapitais.php?data_2018_03_01</vt:lpstr>
      <vt:lpstr>'Temperatura+Umidade+Site'!tempoCapitais.php?data_2018_03_06</vt:lpstr>
      <vt:lpstr>'Temperatura+Umidade+Site'!tempoCapitais.php?data_2018_03_07</vt:lpstr>
      <vt:lpstr>'Temperatura+Umidade+Site'!tempoCapitais.php?data_2018_03_08</vt:lpstr>
      <vt:lpstr>'Temperatura+Umidade+Site'!tempoCapitais.php?data_2018_03_11</vt:lpstr>
      <vt:lpstr>'Temperatura+Umidade+Site'!tempoCapitais.php?data_2018_03_12</vt:lpstr>
      <vt:lpstr>'Temperatura+Umidade+Site'!tempoCapitais.php?data_2018_03_13</vt:lpstr>
      <vt:lpstr>'Temperatura+Umidade+Site'!tempoCapitais.php?data_2018_03_14</vt:lpstr>
      <vt:lpstr>'Temperatura+Umidade+Site'!tempoCapitais.php?data_2018_03_15</vt:lpstr>
      <vt:lpstr>'Temperatura+Umidade+Site'!tempoCapitais.php?data_2018_03_18</vt:lpstr>
      <vt:lpstr>'Temperatura+Umidade+Site'!tempoCapitais.php?data_2018_03_19</vt:lpstr>
      <vt:lpstr>'Temperatura+Umidade+Site'!tempoCapitais.php?data_2018_03_20</vt:lpstr>
      <vt:lpstr>'Temperatura+Umidade+Site'!tempoCapitais.php?data_2018_03_21</vt:lpstr>
      <vt:lpstr>'Temperatura+Umidade+Site'!tempoCapitais.php?data_2018_03_22</vt:lpstr>
      <vt:lpstr>'Temperatura+Umidade+Site'!tempoCapitais.php?data_2018_03_25</vt:lpstr>
      <vt:lpstr>'Temperatura+Umidade+Site'!tempoCapitais.php?data_2018_03_26</vt:lpstr>
      <vt:lpstr>'Temperatura+Umidade+Site'!tempoCapitais.php?data_2018_03_26_1</vt:lpstr>
      <vt:lpstr>'Temperatura+Umidade+Site'!tempoCapitais.php?data_2018_04_01</vt:lpstr>
      <vt:lpstr>'Temperatura+Umidade+Site'!tempoCapitais.php?data_2018_04_02</vt:lpstr>
      <vt:lpstr>'Temperatura+Umidade+Site'!tempoCapitais.php?data_2018_04_03</vt:lpstr>
      <vt:lpstr>'Temperatura+Umidade+Site'!tempoCapitais.php?data_2018_04_04</vt:lpstr>
      <vt:lpstr>'Temperatura+Umidade+Site'!tempoCapitais.php?data_2018_04_05</vt:lpstr>
      <vt:lpstr>'Temperatura+Umidade+Site'!tempoCapitais.php?data_2018_04_08</vt:lpstr>
      <vt:lpstr>'Temperatura+Umidade+Site'!tempoCapitais.php?data_2018_04_09</vt:lpstr>
      <vt:lpstr>'Temperatura+Umidade+Site'!tempoCapitais.php?data_2018_04_10</vt:lpstr>
      <vt:lpstr>'Temperatura+Umidade+Site'!tempoCapitais.php?data_2018_04_11</vt:lpstr>
      <vt:lpstr>'Temperatura+Umidade+Site'!tempoCapitais.php?data_2018_04_12</vt:lpstr>
      <vt:lpstr>'Temperatura+Umidade+Site'!tempoCapitais.php?data_2018_04_15</vt:lpstr>
      <vt:lpstr>'Temperatura+Umidade+Site'!tempoCapitais.php?data_2018_04_16</vt:lpstr>
      <vt:lpstr>'Temperatura+Umidade+Site'!tempoCapitais.php?data_2018_05_01</vt:lpstr>
      <vt:lpstr>'Temperatura+Umidade+Site'!tempoCapitais.php?data_2018_05_02</vt:lpstr>
      <vt:lpstr>'Temperatura+Umidade+Site'!tempoCapitais.php?data_2018_05_03</vt:lpstr>
      <vt:lpstr>'Temperatura+Umidade+Site'!tempoCapitais.php?data_2018_05_06</vt:lpstr>
      <vt:lpstr>'Temperatura+Umidade+Site'!tempoCapitais.php?data_2018_05_07</vt:lpstr>
      <vt:lpstr>'Temperatura+Umidade+Site'!tempoCapitais.php?data_2018_05_08</vt:lpstr>
      <vt:lpstr>'Temperatura+Umidade+Site'!tempoCapitais.php?data_2018_05_09</vt:lpstr>
      <vt:lpstr>'Temperatura+Umidade+Site'!tempoCapitais.php?data_2018_05_10</vt:lpstr>
      <vt:lpstr>'Temperatura+Umidade+Site'!tempoCapitais.php?data_2018_05_13</vt:lpstr>
      <vt:lpstr>'Temperatura+Umidade+Site'!tempoCapitais.php?data_2018_05_14</vt:lpstr>
      <vt:lpstr>'Temperatura+Umidade+Site'!tempoCapitais.php?data_2018_05_15</vt:lpstr>
      <vt:lpstr>'Temperatura+Umidade+Site'!tempoCapitais.php?data_2018_05_16</vt:lpstr>
      <vt:lpstr>'Temperatura+Umidade+Site'!tempoCapitais.php?data_2018_05_17</vt:lpstr>
      <vt:lpstr>'Temperatura+Umidade+Site'!tempoCapitais.php?data_2018_05_20</vt:lpstr>
      <vt:lpstr>'Temperatura+Umidade+Site'!tempoCapitais.php?data_2018_05_21</vt:lpstr>
      <vt:lpstr>'Temperatura+Umidade+Site'!tempoCapitais.php?data_2018_05_22</vt:lpstr>
      <vt:lpstr>'Temperatura+Umidade+Site'!tempoCapitais.php?data_2018_05_23</vt:lpstr>
      <vt:lpstr>'Temperatura+Umidade+Site'!tempoCapitais.php?data_2018_05_24</vt:lpstr>
      <vt:lpstr>'Temperatura+Umidade+Site'!tempoCapitais.php?data_2018_05_27</vt:lpstr>
      <vt:lpstr>'Temperatura+Umidade+Site'!tempoCapitais.php?data_2018_05_28</vt:lpstr>
      <vt:lpstr>'Temperatura+Umidade+Site'!tempoCapitais.php?data_2018_05_29</vt:lpstr>
      <vt:lpstr>'Temperatura+Umidade+Site'!tempoCapitais.php?data_2018_06_03</vt:lpstr>
      <vt:lpstr>'Temperatura+Umidade+Site'!tempoCapitais.php?data_2018_06_04</vt:lpstr>
      <vt:lpstr>'Temperatura+Umidade+Site'!tempoCapitais.php?data_2018_06_05</vt:lpstr>
      <vt:lpstr>'Temperatura+Umidade+Site'!tempoCapitais.php?data_2018_06_06</vt:lpstr>
      <vt:lpstr>'Temperatura+Umidade+Site'!tempoCapitais.php?data_2018_06_07</vt:lpstr>
      <vt:lpstr>'Temperatura+Umidade+Site'!tempoCapitais.php?data_2018_06_10</vt:lpstr>
      <vt:lpstr>'Temperatura+Umidade+Site'!tempoCapitais.php?data_2018_06_11</vt:lpstr>
      <vt:lpstr>'Temperatura+Umidade+Site'!tempoCapitais.php?data_2018_06_12</vt:lpstr>
      <vt:lpstr>'Temperatura+Umidade+Site'!tempoCapitais.php?data_2018_06_17</vt:lpstr>
      <vt:lpstr>'Temperatura+Umidade+Site'!tempoCapitais.php?data_2018_06_18</vt:lpstr>
      <vt:lpstr>'Temperatura+Umidade+Site'!tempoCapitais.php?data_2018_06_19_1</vt:lpstr>
      <vt:lpstr>'Temperatura+Umidade+Site'!tempoCapitais.php?data_2018_06_20</vt:lpstr>
      <vt:lpstr>'Temperatura+Umidade+Site'!tempoCapitais.php?data_2018_06_24</vt:lpstr>
      <vt:lpstr>'Temperatura+Umidade+Site'!tempoCapitais.php?data_2018_06_25</vt:lpstr>
      <vt:lpstr>'Temperatura+Umidade+Site'!tempoCapitais.php?data_2018_06_26</vt:lpstr>
      <vt:lpstr>'Temperatura+Umidade+Site'!tempoCapitais.php?data_2018_06_27</vt:lpstr>
      <vt:lpstr>'Temperatura+Umidade+Site'!tempoCapitais.php?data_2018_06_28</vt:lpstr>
      <vt:lpstr>'Temperatura+Umidade+Site'!tempoCapitais.php?data_2018_07_01</vt:lpstr>
      <vt:lpstr>'Temperatura+Umidade+Site'!tempoCapitais.php?data_2018_07_02</vt:lpstr>
      <vt:lpstr>'Temperatura+Umidade+Site'!tempoCapitais.php?data_2018_07_03_1</vt:lpstr>
      <vt:lpstr>'Temperatura+Umidade+Site'!tempoCapitais.php?data_2018_07_04</vt:lpstr>
      <vt:lpstr>'Temperatura+Umidade+Site'!tempoCapitais.php?data_2018_07_05</vt:lpstr>
      <vt:lpstr>'Temperatura+Umidade+Site'!tempoCapitais.php?data_2018_07_08</vt:lpstr>
      <vt:lpstr>'Temperatura+Umidade+Site'!tempoCapitais.php?data_2018_07_09</vt:lpstr>
      <vt:lpstr>'Temperatura+Umidade+Site'!tempoCapitais.php?data_2018_07_10</vt:lpstr>
      <vt:lpstr>'Temperatura+Umidade+Site'!tempoCapitais.php?data_2018_07_11</vt:lpstr>
      <vt:lpstr>'Temperatura+Umidade+Site'!tempoCapitais.php?data_2018_07_12</vt:lpstr>
      <vt:lpstr>'Temperatura+Umidade+Site'!tempoCapitais.php?data_2018_07_15</vt:lpstr>
      <vt:lpstr>'Temperatura+Umidade+Site'!tempoCapitais.php?data_2018_08_05</vt:lpstr>
      <vt:lpstr>'Temperatura+Umidade+Site'!tempoCapitais.php?data_2018_08_06</vt:lpstr>
      <vt:lpstr>'Temperatura+Umidade+Site'!tempoCapitais.php?data_2018_08_06_1</vt:lpstr>
      <vt:lpstr>'Temperatura+Umidade+Site'!tempoCapitais.php?data_2018_08_07</vt:lpstr>
      <vt:lpstr>'Temperatura+Umidade+Site'!tempoCapitais.php?data_2018_08_07_1</vt:lpstr>
      <vt:lpstr>'Temperatura+Umidade+Site'!tempoCapitais.php?data_2018_08_08</vt:lpstr>
      <vt:lpstr>'Temperatura+Umidade+Site'!tempoCapitais.php?data_2018_08_09</vt:lpstr>
      <vt:lpstr>'Temperatura+Umidade+Site'!tempoCapitais.php?data_2018_08_12</vt:lpstr>
      <vt:lpstr>'Temperatura+Umidade+Site'!tempoCapitais.php?data_2018_08_13</vt:lpstr>
      <vt:lpstr>'Temperatura+Umidade+Site'!tempoCapitais.php?data_2018_08_14</vt:lpstr>
      <vt:lpstr>'Temperatura+Umidade+Site'!tempoCapitais.php?data_2018_08_15</vt:lpstr>
      <vt:lpstr>'Temperatura+Umidade+Site'!tempoCapitais.php?data_2018_08_16</vt:lpstr>
      <vt:lpstr>'Temperatura+Umidade+Site'!tempoCapitais.php?data_2018_08_19</vt:lpstr>
      <vt:lpstr>'Temperatura+Umidade+Site'!tempoCapitais.php?data_2018_08_20</vt:lpstr>
      <vt:lpstr>'Temperatura+Umidade+Site'!tempoCapitais.php?data_2018_08_21</vt:lpstr>
      <vt:lpstr>'Temperatura+Umidade+Site'!tempoCapitais.php?data_2018_08_22</vt:lpstr>
      <vt:lpstr>'Temperatura+Umidade+Site'!tempoCapitais.php?data_2018_08_23</vt:lpstr>
      <vt:lpstr>'Temperatura+Umidade+Site'!tempoCapitais.php?data_2018_08_23_1</vt:lpstr>
      <vt:lpstr>'Temperatura+Umidade+Site'!tempoCapitais.php?data_2018_08_26</vt:lpstr>
      <vt:lpstr>'Temperatura+Umidade+Site'!tempoCapitais.php?data_2018_08_27</vt:lpstr>
      <vt:lpstr>'Temperatura+Umidade+Site'!tempoCapitais.php?data_2018_08_28</vt:lpstr>
      <vt:lpstr>'Temperatura+Umidade+Site'!tempoCapitais.php?data_2018_08_29</vt:lpstr>
      <vt:lpstr>'Temperatura+Umidade+Site'!tempoCapitais.php?data_2018_08_30</vt:lpstr>
      <vt:lpstr>'Temperatura+Umidade+Site'!tempoCapitais.php?data_2018_08_30_1</vt:lpstr>
      <vt:lpstr>'Temperatura+Umidade+Site'!tempoCapitais.php?data_2018_09_02</vt:lpstr>
      <vt:lpstr>'Temperatura+Umidade+Site'!tempoCapitais.php?data_2018_09_03</vt:lpstr>
      <vt:lpstr>'Temperatura+Umidade+Site'!tempoCapitais.php?data_2018_09_03_1</vt:lpstr>
      <vt:lpstr>'Temperatura+Umidade+Site'!tempoCapitais.php?data_2018_09_04</vt:lpstr>
      <vt:lpstr>'Temperatura+Umidade+Site'!tempoCapitais.php?data_2018_09_04_1</vt:lpstr>
      <vt:lpstr>'Temperatura+Umidade+Site'!tempoCapitais.php?data_2018_09_05</vt:lpstr>
      <vt:lpstr>'Temperatura+Umidade+Site'!tempoCapitais.php?data_2018_09_09</vt:lpstr>
      <vt:lpstr>'Temperatura+Umidade+Site'!tempoCapitais.php?data_2018_09_10</vt:lpstr>
      <vt:lpstr>'Temperatura+Umidade+Site'!tempoCapitais.php?data_2018_09_11</vt:lpstr>
      <vt:lpstr>'Temperatura+Umidade+Site'!tempoCapitais.php?data_2018_09_12</vt:lpstr>
      <vt:lpstr>'Temperatura+Umidade+Site'!tempoCapitais.php?data_2018_09_13</vt:lpstr>
      <vt:lpstr>'Temperatura+Umidade+Site'!tempoCapitais.php?data_2018_09_16</vt:lpstr>
      <vt:lpstr>'Temperatura+Umidade+Site'!tempoCapitais.php?data_2018_09_17</vt:lpstr>
      <vt:lpstr>'Temperatura+Umidade+Site'!tempoCapitais.php?data_2018_09_18</vt:lpstr>
      <vt:lpstr>'Temperatura+Umidade+Site'!tempoCapitais.php?data_2018_09_19</vt:lpstr>
      <vt:lpstr>'Temperatura+Umidade+Site'!tempoCapitais.php?data_2018_09_20</vt:lpstr>
      <vt:lpstr>'Temperatura+Umidade+Site'!tempoCapitais.php?data_2018_09_23</vt:lpstr>
      <vt:lpstr>'Temperatura+Umidade+Site'!tempoCapitais.php?data_2018_09_24</vt:lpstr>
      <vt:lpstr>'Temperatura+Umidade+Site'!tempoCapitais.php?data_2018_09_25</vt:lpstr>
      <vt:lpstr>'Temperatura+Umidade+Site'!tempoCapitais.php?data_2018_09_26</vt:lpstr>
      <vt:lpstr>'Temperatura+Umidade+Site'!tempoCapitais.php?data_2018_09_27</vt:lpstr>
      <vt:lpstr>'Temperatura+Umidade+Site'!tempoCapitais.php?data_2018_09_30</vt:lpstr>
      <vt:lpstr>'Temperatura+Umidade+Site'!tempoCapitais.php?data_2018_10_01</vt:lpstr>
      <vt:lpstr>'Temperatura+Umidade+Site'!tempoCapitais.php?data_2018_10_02</vt:lpstr>
      <vt:lpstr>'Temperatura+Umidade+Site'!tempoCapitais.php?data_2018_10_02_1</vt:lpstr>
      <vt:lpstr>'Temperatura+Umidade+Site'!tempoCapitais.php?data_2018_10_03</vt:lpstr>
      <vt:lpstr>'Temperatura+Umidade+Site'!tempoCapitais.php?data_2018_10_03_1</vt:lpstr>
      <vt:lpstr>'Temperatura+Umidade+Site'!tempoCapitais.php?data_2018_10_04</vt:lpstr>
      <vt:lpstr>'Temperatura+Umidade+Site'!tempoCapitais.php?data_2018_10_07</vt:lpstr>
      <vt:lpstr>'Temperatura+Umidade+Site'!tempoCapitais.php?data_2018_10_08</vt:lpstr>
      <vt:lpstr>'Temperatura+Umidade+Site'!tempoCapitais.php?data_2018_10_09</vt:lpstr>
      <vt:lpstr>'Temperatura+Umidade+Site'!tempoCapitais.php?data_2018_10_10</vt:lpstr>
      <vt:lpstr>'Temperatura+Umidade+Site'!tempoCapitais.php?data_2018_10_28</vt:lpstr>
      <vt:lpstr>'Temperatura+Umidade+Site'!tempoCapitais.php?data_2018_10_29</vt:lpstr>
      <vt:lpstr>'Temperatura+Umidade+Site'!tempoCapitais.php?data_2018_10_30</vt:lpstr>
      <vt:lpstr>'Temperatura+Umidade+Site'!tempoCapitais.php?data_2018_10_31</vt:lpstr>
      <vt:lpstr>'Temperatura+Umidade+Site'!tempoCapitais.php?data_2018_11_04</vt:lpstr>
      <vt:lpstr>'Temperatura+Umidade+Site'!tempoCapitais.php?data_2018_11_05</vt:lpstr>
      <vt:lpstr>'Temperatura+Umidade+Site'!tempoCapitais.php?data_2018_11_06</vt:lpstr>
      <vt:lpstr>'Temperatura+Umidade+Site'!tempoCapitais.php?data_2018_11_07</vt:lpstr>
      <vt:lpstr>'Temperatura+Umidade+Site'!tempoCapitais.php?data_2018_11_08</vt:lpstr>
      <vt:lpstr>'Temperatura+Umidade+Site'!tempoCapitais.php?data_2018_11_11</vt:lpstr>
      <vt:lpstr>'Temperatura+Umidade+Site'!tempoCapitais.php?data_2018_11_12</vt:lpstr>
      <vt:lpstr>'Temperatura+Umidade+Site'!tempoCapitais.php?data_2018_11_13</vt:lpstr>
      <vt:lpstr>'Temperatura+Umidade+Site'!tempoCapitais.php?data_2018_11_18</vt:lpstr>
      <vt:lpstr>'Temperatura+Umidade+Site'!tempoCapitais.php?data_2018_11_20</vt:lpstr>
      <vt:lpstr>'Temperatura+Umidade+Site'!tempoCapitais.php?data_2018_11_21</vt:lpstr>
      <vt:lpstr>'Temperatura+Umidade+Site'!tempoCapitais.php?data_2018_11_22</vt:lpstr>
      <vt:lpstr>'Temperatura+Umidade+Site'!tempoCapitais.php?data_2018_11_25</vt:lpstr>
      <vt:lpstr>'Temperatura+Umidade+Site'!tempoCapitais.php?data_2018_11_25_1</vt:lpstr>
      <vt:lpstr>'Temperatura+Umidade+Site'!tempoCapitais.php?data_2018_12_03</vt:lpstr>
      <vt:lpstr>'Temperatura+Umidade+Site'!tempoCapitais.php?data_2018_12_04</vt:lpstr>
      <vt:lpstr>'Temperatura+Umidade+Site'!tempoCapitais.php?data_2018_12_09</vt:lpstr>
      <vt:lpstr>'Temperatura+Umidade+Site'!tempoCapitais.php?data_2018_12_10</vt:lpstr>
      <vt:lpstr>'Temperatura+Umidade+Site'!tempoCapitais.php?data_2018_12_11</vt:lpstr>
      <vt:lpstr>'Temperatura+Umidade+Site'!tempoCapitais.php?data_2018_12_12</vt:lpstr>
      <vt:lpstr>'Temperatura+Umidade+Site'!tempoCapitais.php?data_2018_12_13</vt:lpstr>
      <vt:lpstr>'Temperatura+Umidade+Site'!tempoCapitais.php?data_2018_12_16</vt:lpstr>
      <vt:lpstr>'Temperatura+Umidade+Site'!tempoCapitais.php?data_2018_12_17</vt:lpstr>
      <vt:lpstr>'Temperatura+Umidade+Site'!tempoCapitais.php?data_2018_12_18</vt:lpstr>
      <vt:lpstr>'Temperatura+Umidade+Site'!tempoCapitais.php?data_2018_12_18_1</vt:lpstr>
      <vt:lpstr>'Temperatura+Umidade+Site'!tempoCapitais.php?data_2018_12_19</vt:lpstr>
      <vt:lpstr>'Temperatura+Umidade+Site'!tempoCapitais.php?data_2018_12_19_1</vt:lpstr>
      <vt:lpstr>'Temperatura+Umidade+Site'!tempoCapitais.php?data_2018_12_20</vt:lpstr>
      <vt:lpstr>'Temperatura+Umidade+Site'!tempoCapitais.php?data_2018_12_20_1</vt:lpstr>
      <vt:lpstr>'Temperatura+Umidade+Site'!tempoCapitais.php?data_2018_12_25</vt:lpstr>
      <vt:lpstr>'Temperatura+Umidade+Site'!tempoCapitais.php?data_2018_12_26</vt:lpstr>
      <vt:lpstr>'Temperatura+Umidade+Site'!tempoCapitais.php?data_2018_12_27</vt:lpstr>
      <vt:lpstr>'Temperatura+Umidade+Site'!tempoCapitais.php?data_2019_01_01</vt:lpstr>
      <vt:lpstr>'Temperatura+Umidade+Site'!tempoCapitais.php?data_2019_01_01_1</vt:lpstr>
      <vt:lpstr>'Temperatura+Umidade+Site'!tempoCapitais.php?data_2019_01_02</vt:lpstr>
      <vt:lpstr>'Temperatura+Umidade+Site'!tempoCapitais.php?data_2019_01_02_1</vt:lpstr>
      <vt:lpstr>'Temperatura+Umidade+Site'!tempoCapitais.php?data_2019_01_03</vt:lpstr>
      <vt:lpstr>'Temperatura+Umidade+Site'!tempoCapitais.php?data_2019_01_06</vt:lpstr>
      <vt:lpstr>'Temperatura+Umidade+Site'!tempoCapitais.php?data_2019_01_07</vt:lpstr>
      <vt:lpstr>'Temperatura+Umidade+Site'!tempoCapitais.php?data_2019_01_08</vt:lpstr>
      <vt:lpstr>'Temperatura+Umidade+Site'!tempoCapitais.php?data_2019_01_09</vt:lpstr>
      <vt:lpstr>'Temperatura+Umidade+Site'!tempoCapitais.php?data_2019_01_09_1</vt:lpstr>
      <vt:lpstr>'Temperatura+Umidade+Site'!tempoCapitais.php?data_2019_01_10</vt:lpstr>
      <vt:lpstr>'Temperatura+Umidade+Site'!tempoCapitais.php?data_2019_01_13</vt:lpstr>
      <vt:lpstr>'Temperatura+Umidade+Site'!tempoCapitais.php?data_2019_01_14</vt:lpstr>
      <vt:lpstr>'Temperatura+Umidade+Site'!tempoCapitais.php?data_2019_01_15</vt:lpstr>
      <vt:lpstr>'Temperatura+Umidade+Site'!tempoCapitais.php?data_2019_01_16</vt:lpstr>
      <vt:lpstr>'Temperatura+Umidade+Site'!tempoCapitais.php?data_2019_01_17</vt:lpstr>
      <vt:lpstr>'Temperatura+Umidade+Site'!tempoCapitais.php?data_2019_01_20</vt:lpstr>
      <vt:lpstr>'Temperatura+Umidade+Site'!tempoCapitais.php?data_2019_01_21</vt:lpstr>
      <vt:lpstr>'Temperatura+Umidade+Site'!tempoCapitais.php?data_2019_01_22</vt:lpstr>
      <vt:lpstr>'Temperatura+Umidade+Site'!tempoCapitais.php?data_2019_01_23</vt:lpstr>
      <vt:lpstr>'Temperatura+Umidade+Site'!tempoCapitais.php?data_2019_01_24</vt:lpstr>
      <vt:lpstr>'Temperatura+Umidade+Site'!tempoCapitais.php?data_2019_01_27</vt:lpstr>
      <vt:lpstr>'Temperatura+Umidade+Site'!tempoCapitais.php?data_2019_01_28</vt:lpstr>
      <vt:lpstr>'Temperatura+Umidade+Site'!tempoCapitais.php?data_2019_01_29</vt:lpstr>
      <vt:lpstr>'Temperatura+Umidade+Site'!tempoCapitais.php?data_2019_01_30</vt:lpstr>
      <vt:lpstr>'Temperatura+Umidade+Site'!tempoCapitais.php?data_2019_01_31</vt:lpstr>
      <vt:lpstr>'Temperatura+Umidade+Site'!tempoCapitais.php?data_2019_02_03</vt:lpstr>
      <vt:lpstr>'Temperatura+Umidade+Site'!tempoCapitais.php?data_2019_02_04</vt:lpstr>
      <vt:lpstr>'Temperatura+Umidade+Site'!tempoCapitais.php?data_2019_02_05</vt:lpstr>
      <vt:lpstr>'Temperatura+Umidade+Site'!tempoCapitais.php?data_2019_02_05_1</vt:lpstr>
      <vt:lpstr>'Temperatura+Umidade+Site'!tempoCapitais.php?data_2019_02_06</vt:lpstr>
      <vt:lpstr>'Temperatura+Umidade+Site'!tempoCapitais.php?data_2019_02_06_1</vt:lpstr>
      <vt:lpstr>'Temperatura+Umidade+Site'!tempoCapitais.php?data_2019_02_07</vt:lpstr>
      <vt:lpstr>'Temperatura+Umidade+Site'!tempoCapitais.php?data_2019_02_17</vt:lpstr>
      <vt:lpstr>'Temperatura+Umidade+Site'!tempoCapitais.php?data_2019_02_18</vt:lpstr>
      <vt:lpstr>'Temperatura+Umidade+Site'!tempoCapitais.php?data_2019_02_19</vt:lpstr>
      <vt:lpstr>'Temperatura+Umidade+Site'!tempoCapitais.php?data_2019_02_20</vt:lpstr>
      <vt:lpstr>'Temperatura+Umidade+Site'!tempoCapitais.php?data_2019_02_21</vt:lpstr>
      <vt:lpstr>'Temperatura+Umidade+Site'!tempoCapitais.php?data_2019_02_24</vt:lpstr>
      <vt:lpstr>'Temperatura+Umidade+Site'!tempoCapitais.php?data_2019_02_25</vt:lpstr>
      <vt:lpstr>'Temperatura+Umidade+Site'!tempoCapitais.php?data_2019_02_26</vt:lpstr>
      <vt:lpstr>'Temperatura+Umidade+Site'!tempoCapitais.php?data_2019_02_27</vt:lpstr>
      <vt:lpstr>'Temperatura+Umidade+Site'!tempoCapitais.php?data_2019_02_28</vt:lpstr>
      <vt:lpstr>'Temperatura+Umidade+Site'!tempoCapitais.php?data_2019_03_06</vt:lpstr>
      <vt:lpstr>'Temperatura+Umidade+Site'!tempoCapitais.php?data_2019_03_07</vt:lpstr>
      <vt:lpstr>'Temperatura+Umidade+Site'!tempoCapitais.php?data_2019_03_10</vt:lpstr>
      <vt:lpstr>'Temperatura+Umidade+Site'!tempoCapitais.php?data_2019_03_11</vt:lpstr>
      <vt:lpstr>'Temperatura+Umidade+Site'!tempoCapitais.php?data_2019_03_12</vt:lpstr>
      <vt:lpstr>'Temperatura+Umidade+Site'!tempoCapitais.php?data_2019_03_13</vt:lpstr>
      <vt:lpstr>'Temperatura+Umidade+Site'!tempoCapitais.php?data_2019_03_14</vt:lpstr>
      <vt:lpstr>'Temperatura+Umidade+Site'!tempoCapitais.php?data_2019_03_17</vt:lpstr>
      <vt:lpstr>'Temperatura+Umidade+Site'!tempoCapitais.php?data_2019_03_18</vt:lpstr>
      <vt:lpstr>'Temperatura+Umidade+Site'!tempoCapitais.php?data_2019_03_19</vt:lpstr>
      <vt:lpstr>'Temperatura+Umidade+Site'!tempoCapitais.php?data_2019_03_20</vt:lpstr>
      <vt:lpstr>'Temperatura+Umidade+Site'!tempoCapitais.php?data_2019_03_20_1</vt:lpstr>
      <vt:lpstr>'Temperatura+Umidade+Site'!tempoCapitais.php?data_2019_03_21</vt:lpstr>
      <vt:lpstr>'Temperatura+Umidade+Site'!tempoCapitais.php?data_2019_03_21_1</vt:lpstr>
      <vt:lpstr>'Temperatura+Umidade+Site'!tempoCapitais.php?data_2019_03_21_2</vt:lpstr>
      <vt:lpstr>'Temperatura+Umidade+Site'!tempoCapitais.php?data_2019_03_24</vt:lpstr>
      <vt:lpstr>'Temperatura+Umidade+Site'!tempoCapitais.php?data_2019_03_25</vt:lpstr>
      <vt:lpstr>'Temperatura+Umidade+Site'!tempoCapitais.php?data_2019_03_26</vt:lpstr>
      <vt:lpstr>'Temperatura+Umidade+Site'!tempoCapitais.php?data_2019_03_27</vt:lpstr>
      <vt:lpstr>'Temperatura+Umidade+Site'!tempoCapitais.php?data_2019_03_28</vt:lpstr>
      <vt:lpstr>'Temperatura+Umidade+Site'!tempoCapitais.php?data_2019_03_31</vt:lpstr>
      <vt:lpstr>'Temperatura+Umidade+Site'!tempoCapitais.php?data_2019_04_01</vt:lpstr>
      <vt:lpstr>'Temperatura+Umidade+Site'!tempoCapitais.php?data_2019_04_02</vt:lpstr>
      <vt:lpstr>'Temperatura+Umidade+Site'!tempoCapitais.php?data_2019_04_03</vt:lpstr>
      <vt:lpstr>'Temperatura+Umidade+Site'!tempoCapitais.php?data_2019_04_04</vt:lpstr>
      <vt:lpstr>'Temperatura+Umidade+Site'!tempoCapitais.php?data_2019_04_07</vt:lpstr>
      <vt:lpstr>'Temperatura+Umidade+Site'!tempoCapitais.php?data_2019_04_08</vt:lpstr>
      <vt:lpstr>'Temperatura+Umidade+Site'!tempoCapitais.php?data_2019_04_09</vt:lpstr>
      <vt:lpstr>'Temperatura+Umidade+Site'!tempoCapitais.php?data_2019_04_10</vt:lpstr>
      <vt:lpstr>'Temperatura+Umidade+Site'!tempoCapitais.php?data_2019_04_11</vt:lpstr>
      <vt:lpstr>'Temperatura+Umidade+Site'!tempoCapitais.php?data_2019_04_14</vt:lpstr>
      <vt:lpstr>'Temperatura+Umidade+Site'!tempoCapitais.php?data_2019_04_15</vt:lpstr>
      <vt:lpstr>'Temperatura+Umidade+Site'!tempoCapitais.php?data_2019_04_16</vt:lpstr>
      <vt:lpstr>'Temperatura+Umidade+Site'!tempoCapitais.php?data_2019_04_17</vt:lpstr>
      <vt:lpstr>'Temperatura+Umidade+Site'!tempoCapitais.php?data_2019_04_21</vt:lpstr>
      <vt:lpstr>'Temperatura+Umidade+Site'!tempoCapitais.php?data_2019_04_23</vt:lpstr>
      <vt:lpstr>'Temperatura+Umidade+Site'!tempoCapitais.php?data_2019_04_24</vt:lpstr>
      <vt:lpstr>'Temperatura+Umidade+Site'!tempoCapitais.php?data_2019_04_25</vt:lpstr>
      <vt:lpstr>'Temperatura+Umidade+Site'!tempoCapitais.php?data_2019_04_28</vt:lpstr>
      <vt:lpstr>'Temperatura+Umidade+Site'!tempoCapitais.php?data_2019_04_29</vt:lpstr>
      <vt:lpstr>'Temperatura+Umidade+Site'!tempoCapitais.php?data_2019_05_01</vt:lpstr>
      <vt:lpstr>'Temperatura+Umidade+Site'!tempoCapitais.php?data_2019_05_01_1</vt:lpstr>
      <vt:lpstr>'Temperatura+Umidade+Site'!tempoCapitais.php?data_2019_05_02</vt:lpstr>
      <vt:lpstr>'Temperatura+Umidade+Site'!tempoCapitais.php?data_2019_05_05</vt:lpstr>
      <vt:lpstr>'Temperatura+Umidade+Site'!tempoCapitais.php?data_2019_05_06</vt:lpstr>
      <vt:lpstr>'Temperatura+Umidade+Site'!tempoCapitais.php?data_2019_05_07</vt:lpstr>
      <vt:lpstr>'Temperatura+Umidade+Site'!tempoCapitais.php?data_2019_05_08</vt:lpstr>
      <vt:lpstr>'Temperatura+Umidade+Site'!tempoCapitais.php?data_2019_05_09</vt:lpstr>
      <vt:lpstr>'Temperatura+Umidade+Site'!tempoCapitais.php?data_2019_05_12</vt:lpstr>
      <vt:lpstr>'Temperatura+Umidade+Site'!tempoCapitais.php?data_2019_05_13</vt:lpstr>
      <vt:lpstr>'Temperatura+Umidade+Site'!tempoCapitais.php?data_2019_05_13_1</vt:lpstr>
      <vt:lpstr>'Temperatura+Umidade+Site'!tempoCapitais.php?data_2019_05_14</vt:lpstr>
      <vt:lpstr>'Temperatura+Umidade+Site'!tempoCapitais.php?data_2019_05_15</vt:lpstr>
      <vt:lpstr>'Temperatura+Umidade+Site'!tempoCapitais.php?data_2019_05_16</vt:lpstr>
      <vt:lpstr>'Temperatura+Umidade+Site'!tempoCapitais.php?data_2019_05_19</vt:lpstr>
      <vt:lpstr>'Temperatura+Umidade+Site'!tempoCapitais.php?data_2019_05_20</vt:lpstr>
      <vt:lpstr>'Temperatura+Umidade+Site'!tempoCapitais.php?data_2019_05_20_1</vt:lpstr>
      <vt:lpstr>'Temperatura+Umidade+Site'!tempoCapitais.php?data_2019_05_21</vt:lpstr>
      <vt:lpstr>'Temperatura+Umidade+Site'!tempoCapitais.php?data_2019_05_21_1</vt:lpstr>
      <vt:lpstr>'Temperatura+Umidade+Site'!tempoCapitais.php?data_2019_05_22</vt:lpstr>
      <vt:lpstr>'Temperatura+Umidade+Site'!tempoCapitais.php?data_2019_05_23</vt:lpstr>
      <vt:lpstr>'Temperatura+Umidade+Site'!tempoCapitais.php?data_2019_05_26</vt:lpstr>
      <vt:lpstr>'Temperatura+Umidade+Site'!tempoCapitais.php?data_2019_05_27</vt:lpstr>
      <vt:lpstr>'Temperatura+Umidade+Site'!tempoCapitais.php?data_2019_05_27_1</vt:lpstr>
      <vt:lpstr>'Temperatura+Umidade+Site'!tempoCapitais.php?data_2019_05_28</vt:lpstr>
      <vt:lpstr>'Temperatura+Umidade+Site'!tempoCapitais.php?data_2019_05_28_1</vt:lpstr>
      <vt:lpstr>'Temperatura+Umidade+Site'!tempoCapitais.php?data_2019_05_28_2</vt:lpstr>
      <vt:lpstr>'Temperatura+Umidade+Site'!tempoCapitais.php?data_2019_05_29</vt:lpstr>
      <vt:lpstr>'Temperatura+Umidade+Site'!tempoCapitais.php?data_2019_05_30</vt:lpstr>
      <vt:lpstr>'Temperatura+Umidade+Site'!tempoCapitais.php?data_2019_06_01</vt:lpstr>
      <vt:lpstr>'Temperatura+Umidade+Site'!tempoCapitais.php?data_2019_06_02</vt:lpstr>
      <vt:lpstr>'Temperatura+Umidade+Site'!tempoCapitais.php?data_2019_06_03</vt:lpstr>
      <vt:lpstr>'Temperatura+Umidade+Site'!tempoCapitais.php?data_2019_06_04</vt:lpstr>
      <vt:lpstr>'Temperatura+Umidade+Site'!tempoCapitais.php?data_2019_06_05</vt:lpstr>
      <vt:lpstr>'Temperatura+Umidade+Site'!tempoCapitais.php?data_2019_06_06</vt:lpstr>
      <vt:lpstr>'Temperatura+Umidade+Site'!tempoCapitais.php?data_2019_06_09</vt:lpstr>
      <vt:lpstr>'Temperatura+Umidade+Site'!tempoCapitais.php?data_2019_06_10</vt:lpstr>
      <vt:lpstr>'Temperatura+Umidade+Site'!tempoCapitais.php?data_2019_06_11</vt:lpstr>
      <vt:lpstr>'Temperatura+Umidade+Site'!tempoCapitais.php?data_2019_06_12</vt:lpstr>
      <vt:lpstr>'Temperatura+Umidade+Site'!tempoCapitais.php?data_2019_06_13</vt:lpstr>
      <vt:lpstr>'Temperatura+Umidade+Site'!tempoCapitais.php?data_2019_06_16</vt:lpstr>
      <vt:lpstr>'Temperatura+Umidade+Site'!tempoCapitais.php?data_2019_06_17</vt:lpstr>
      <vt:lpstr>'Temperatura+Umidade+Site'!tempoCapitais.php?data_2019_06_18</vt:lpstr>
      <vt:lpstr>'Temperatura+Umidade+Site'!tempoCapitais.php?data_2019_06_23</vt:lpstr>
      <vt:lpstr>'Temperatura+Umidade+Site'!tempoCapitais.php?data_2019_06_24</vt:lpstr>
      <vt:lpstr>'Temperatura+Umidade+Site'!tempoCapitais.php?data_2019_06_24_1</vt:lpstr>
      <vt:lpstr>'Temperatura+Umidade+Site'!tempoCapitais.php?data_2019_06_25</vt:lpstr>
      <vt:lpstr>'Temperatura+Umidade+Site'!tempoCapitais.php?data_2019_06_26</vt:lpstr>
      <vt:lpstr>'Temperatura+Umidade+Site'!tempoCapitais.php?data_2019_06_27</vt:lpstr>
      <vt:lpstr>'Temperatura+Umidade+Site'!tempoCapitais.php?data_2019_06_30</vt:lpstr>
      <vt:lpstr>'Temperatura+Umidade+Site'!tempoCapitais.php?data_2019_07_01</vt:lpstr>
      <vt:lpstr>'Temperatura+Umidade+Site'!tempoCapitais.php?data_2019_07_02</vt:lpstr>
      <vt:lpstr>'Temperatura+Umidade+Site'!tempoCapitais.php?data_2019_07_03</vt:lpstr>
      <vt:lpstr>'Temperatura+Umidade+Site'!tempoCapitais.php?data_2019_07_04</vt:lpstr>
      <vt:lpstr>'Temperatura+Umidade+Site'!tempoCapitais.php?data_2019_07_07</vt:lpstr>
      <vt:lpstr>'Temperatura+Umidade+Site'!tempoCapitais.php?data_2019_07_08</vt:lpstr>
      <vt:lpstr>'Temperatura+Umidade+Site'!tempoCapitais.php?data_2019_07_09</vt:lpstr>
      <vt:lpstr>'Temperatura+Umidade+Site'!tempoCapitais.php?data_2019_07_10</vt:lpstr>
      <vt:lpstr>'Temperatura+Umidade+Site'!tempoCapitais.php?data_2019_07_11</vt:lpstr>
      <vt:lpstr>'Temperatura+Umidade+Site'!tempoCapitais.php?data_2019_07_14</vt:lpstr>
      <vt:lpstr>'Temperatura+Umidade+Site'!tempoCapitais.php?data_2019_07_16</vt:lpstr>
      <vt:lpstr>'Temperatura+Umidade+Site'!tempoCapitais.php?data_2019_07_17</vt:lpstr>
      <vt:lpstr>'Temperatura+Umidade+Site'!tempoCapitais.php?data_2019_07_18</vt:lpstr>
      <vt:lpstr>'Temperatura+Umidade+Site'!tempoCapitais.php?data_2019_07_19</vt:lpstr>
      <vt:lpstr>'Temperatura+Umidade+Site'!tempoCapitais.php?data_2019_07_21</vt:lpstr>
      <vt:lpstr>'Temperatura+Umidade+Site'!tempoCapitais.php?data_2019_07_22</vt:lpstr>
      <vt:lpstr>'Temperatura+Umidade+Site'!tempoCapitais.php?data_2019_07_23</vt:lpstr>
      <vt:lpstr>'Temperatura+Umidade+Site'!tempoCapitais.php?data_2019_07_24</vt:lpstr>
      <vt:lpstr>'Temperatura+Umidade+Site'!tempoCapitais.php?data_2019_07_25</vt:lpstr>
      <vt:lpstr>'Temperatura+Umidade+Site'!tempoCapitais.php?data_2019_09_30</vt:lpstr>
      <vt:lpstr>'Temperatura+Umidade+Site'!tempoCapitais.php?data_2019_10_01</vt:lpstr>
      <vt:lpstr>'Temperatura+Umidade+Site'!tempoCapitais.php?data_2019_10_01_1</vt:lpstr>
      <vt:lpstr>'Temperatura+Umidade+Site'!tempoCapitais.php?data_2019_10_02</vt:lpstr>
      <vt:lpstr>'Temperatura+Umidade+Site'!tempoCapitais.php?data_2019_10_03</vt:lpstr>
      <vt:lpstr>'Temperatura+Umidade+Site'!tempoCapitais.php?data_2019_10_06</vt:lpstr>
      <vt:lpstr>'Temperatura+Umidade+Site'!tempoCapitais.php?data_2019_10_07</vt:lpstr>
      <vt:lpstr>'Temperatura+Umidade+Site'!tempoCapitais.php?data_2019_10_08</vt:lpstr>
      <vt:lpstr>'Temperatura+Umidade+Site'!tempoCapitais.php?data_2019_10_09</vt:lpstr>
      <vt:lpstr>'Temperatura+Umidade+Site'!tempoCapitais.php?data_2019_10_10</vt:lpstr>
      <vt:lpstr>'Temperatura+Umidade+Site'!tempoCapitais.php?data_2019_10_13</vt:lpstr>
      <vt:lpstr>'Temperatura+Umidade+Site'!tempoCapitais.php?data_2019_10_14</vt:lpstr>
      <vt:lpstr>'Temperatura+Umidade+Site'!tempoCapitais.php?data_2019_12_01</vt:lpstr>
      <vt:lpstr>'Temperatura+Umidade+Site'!tempoCapitais.php?data_2019_12_02</vt:lpstr>
      <vt:lpstr>'Temperatura+Umidade+Site'!tempoCapitais.php?data_2019_12_03</vt:lpstr>
      <vt:lpstr>'Temperatura+Umidade+Site'!tempoCapitais.php?data_2019_12_04</vt:lpstr>
      <vt:lpstr>'Temperatura+Umidade+Site'!tempoCapitais.php?data_2019_12_05</vt:lpstr>
      <vt:lpstr>'Temperatura+Umidade+Site'!tempoCapitais.php?data_2019_12_06</vt:lpstr>
      <vt:lpstr>'Temperatura+Umidade+Site'!tempoCapitais.php?data_2019_12_07</vt:lpstr>
      <vt:lpstr>'Temperatura+Umidade+Site'!tempoCapitais.php?data_2019_12_08</vt:lpstr>
      <vt:lpstr>'Temperatura+Umidade+Site'!tempoCapitais.php?data_2019_12_09</vt:lpstr>
      <vt:lpstr>'Temperatura+Umidade+Site'!tempoCapitais.php?data_2019_12_10</vt:lpstr>
      <vt:lpstr>'Temperatura+Umidade+Site'!tempoCapitais.php?data_2019_12_10_1</vt:lpstr>
      <vt:lpstr>'Temperatura+Umidade+Site'!tempoCapitais.php?data_2019_12_11</vt:lpstr>
      <vt:lpstr>'Temperatura+Umidade+Site'!tempoCapitais.php?data_2019_12_12</vt:lpstr>
      <vt:lpstr>'Temperatura+Umidade+Site'!tempoCapitais.php?data_2019_12_12_1</vt:lpstr>
      <vt:lpstr>'Temperatura+Umidade+Site'!tempoCapitais.php?data_2019_12_13</vt:lpstr>
      <vt:lpstr>'Temperatura+Umidade+Site'!tempoCapitais.php?data_2019_12_14</vt:lpstr>
      <vt:lpstr>'Temperatura+Umidade+Site'!tempoCapitais.php?data_2019_12_15</vt:lpstr>
      <vt:lpstr>'Temperatura+Umidade+Site'!tempoCapitais.php?data_2019_12_16</vt:lpstr>
      <vt:lpstr>'Temperatura+Umidade+Site'!tempoCapitais.php?data_2019_12_17</vt:lpstr>
      <vt:lpstr>'Temperatura+Umidade+Site'!tempoCapitais.php?data_2019_12_18</vt:lpstr>
      <vt:lpstr>'Temperatura+Umidade+Site'!tempoCapitais.php?data_2019_12_19</vt:lpstr>
      <vt:lpstr>'Temperatura+Umidade+Site'!tempoCapitais.php?data_2019_12_20</vt:lpstr>
      <vt:lpstr>'Temperatura+Umidade+Site'!tempoCapitais.php?data_2019_12_30</vt:lpstr>
      <vt:lpstr>'Temperatura+Umidade+Site'!tempoCapitais.php?data_2019_12_31</vt:lpstr>
      <vt:lpstr>'Temperatura+Umidade+Site'!tempoCapitais.php?data_2020_01_01</vt:lpstr>
      <vt:lpstr>'Temperatura+Umidade+Site'!tempoCapitais.php?data_2020_01_02</vt:lpstr>
      <vt:lpstr>'Temperatura+Umidade+Site'!tempoCapitais.php?data_2020_01_03</vt:lpstr>
      <vt:lpstr>'Temperatura+Umidade+Site'!tempoCapitais.php?data_2020_01_04</vt:lpstr>
      <vt:lpstr>'Temperatura+Umidade+Site'!tempoCapitais.php?data_2020_01_05</vt:lpstr>
      <vt:lpstr>'Temperatura+Umidade+Site'!tempoCapitais.php?data_2020_01_06</vt:lpstr>
      <vt:lpstr>'Temperatura+Umidade+Site'!tempoCapitais.php?data_2020_01_07</vt:lpstr>
      <vt:lpstr>'Temperatura+Umidade+Site'!tempoCapitais.php?data_2020_01_08</vt:lpstr>
      <vt:lpstr>'Temperatura+Umidade+Site'!tempoCapitais.php?data_2020_01_09</vt:lpstr>
      <vt:lpstr>'Temperatura+Umidade+Site'!tempoCapitais.php?data_2020_01_12</vt:lpstr>
      <vt:lpstr>'Temperatura+Umidade+Site'!tempoCapitais.php?data_2020_01_13</vt:lpstr>
      <vt:lpstr>'Temperatura+Umidade+Site'!tempoCapitais.php?data_2020_01_14</vt:lpstr>
      <vt:lpstr>'Temperatura+Umidade+Site'!tempoCapitais.php?data_2020_01_15</vt:lpstr>
      <vt:lpstr>'Temperatura+Umidade+Site'!tempoCapitais.php?data_2020_01_16</vt:lpstr>
      <vt:lpstr>'Temperatura+Umidade+Site'!tempoCapitais.php?data_2020_01_17</vt:lpstr>
      <vt:lpstr>'Temperatura+Umidade+Site'!tempoCapitais.php?data_2020_01_18</vt:lpstr>
      <vt:lpstr>'Temperatura+Umidade+Site'!tempoCapitais.php?data_2020_01_19</vt:lpstr>
      <vt:lpstr>'Temperatura+Umidade+Site'!tempoCapitais.php?data_2020_01_20</vt:lpstr>
      <vt:lpstr>'Temperatura+Umidade+Site'!tempoCapitais.php?data_2020_01_21</vt:lpstr>
      <vt:lpstr>'Temperatura+Umidade+Site'!tempoCapitais.php?data_2020_01_22</vt:lpstr>
      <vt:lpstr>'Temperatura+Umidade+Site'!tempoCapitais.php?data_2020_01_22_1</vt:lpstr>
      <vt:lpstr>'Temperatura+Umidade+Site'!tempoCapitais.php?data_2020_01_23</vt:lpstr>
      <vt:lpstr>'Temperatura+Umidade+Site'!tempoCapitais.php?data_2020_01_24</vt:lpstr>
      <vt:lpstr>'Temperatura+Umidade+Site'!tempoCapitais.php?data_2020_01_25</vt:lpstr>
      <vt:lpstr>'Temperatura+Umidade+Site'!tempoCapitais.php?data_2020_01_27</vt:lpstr>
      <vt:lpstr>'Temperatura+Umidade+Site'!tempoCapitais.php?data_2020_01_27_1</vt:lpstr>
      <vt:lpstr>'Temperatura+Umidade+Site'!tempoCapitais.php?data_2020_01_28</vt:lpstr>
      <vt:lpstr>'Temperatura+Umidade+Site'!tempoCapitais.php?data_2020_01_29</vt:lpstr>
      <vt:lpstr>'Temperatura+Umidade+Site'!tempoCapitais.php?data_2020_01_30</vt:lpstr>
      <vt:lpstr>'Temperatura+Umidade+Site'!tempoCapitais.php?data_2020_01_31</vt:lpstr>
      <vt:lpstr>'Temperatura+Umidade+Site'!tempoCapitais.php?data_2020_02_01</vt:lpstr>
      <vt:lpstr>'Temperatura+Umidade+Site'!tempoCapitais.php?data_2020_02_01_1</vt:lpstr>
      <vt:lpstr>'Temperatura+Umidade+Site'!tempoCapitais.php?data_2020_02_02</vt:lpstr>
      <vt:lpstr>'Temperatura+Umidade+Site'!tempoCapitais.php?data_2020_02_03</vt:lpstr>
      <vt:lpstr>'Temperatura+Umidade+Site'!tempoCapitais.php?data_2020_02_04</vt:lpstr>
      <vt:lpstr>'Temperatura+Umidade+Site'!tempoCapitais.php?data_2020_02_05</vt:lpstr>
      <vt:lpstr>'Temperatura+Umidade+Site'!tempoCapitais.php?data_2020_02_06</vt:lpstr>
      <vt:lpstr>'Temperatura+Umidade+Site'!tempoCapitais.php?data_2020_02_06_1</vt:lpstr>
      <vt:lpstr>'Temperatura+Umidade+Site'!tempoCapitais.php?data_2020_02_07</vt:lpstr>
      <vt:lpstr>'Temperatura+Umidade+Site'!tempoCapitais.php?data_2020_02_07_1</vt:lpstr>
      <vt:lpstr>'Temperatura+Umidade+Site'!tempoCapitais.php?data_2020_02_08</vt:lpstr>
      <vt:lpstr>'Temperatura+Umidade+Site'!tempoCapitais.php?data_2020_02_09</vt:lpstr>
      <vt:lpstr>'Temperatura+Umidade+Site'!tempoCapitais.php?data_2020_02_10</vt:lpstr>
      <vt:lpstr>'Temperatura+Umidade+Site'!tempoCapitais.php?data_2020_02_11</vt:lpstr>
      <vt:lpstr>'Temperatura+Umidade+Site'!tempoCapitais.php?data_2020_02_12</vt:lpstr>
      <vt:lpstr>'Temperatura+Umidade+Site'!tempoCapitais.php?data_2020_02_13</vt:lpstr>
      <vt:lpstr>'Temperatura+Umidade+Site'!tempoCapitais.php?data_2020_02_14</vt:lpstr>
      <vt:lpstr>'Temperatura+Umidade+Site'!tempoCapitais.php?data_2020_02_15</vt:lpstr>
      <vt:lpstr>'Temperatura+Umidade+Site'!tempoCapitais.php?data_2020_02_16</vt:lpstr>
      <vt:lpstr>'Temperatura+Umidade+Site'!tempoCapitais.php?data_2020_02_16_1</vt:lpstr>
      <vt:lpstr>'Temperatura+Umidade+Site'!tempoCapitais.php?data_2020_02_17</vt:lpstr>
      <vt:lpstr>'Temperatura+Umidade+Site'!tempoCapitais.php?data_2020_02_18</vt:lpstr>
      <vt:lpstr>'Temperatura+Umidade+Site'!tempoCapitais.php?data_2020_02_19</vt:lpstr>
      <vt:lpstr>'Temperatura+Umidade+Site'!tempoCapitais.php?data_2020_02_20</vt:lpstr>
      <vt:lpstr>'Temperatura+Umidade+Site'!tempoCapitais.php?data_2020_02_21</vt:lpstr>
      <vt:lpstr>'Temperatura+Umidade+Site'!tempoCapitais.php?data_2020_02_22</vt:lpstr>
      <vt:lpstr>'Temperatura+Umidade+Site'!tempoCapitais.php?data_2020_02_23</vt:lpstr>
      <vt:lpstr>'Temperatura+Umidade+Site'!tempoCapitais.php?data_2020_02_24</vt:lpstr>
      <vt:lpstr>'Temperatura+Umidade+Site'!tempoCapitais.php?data_2020_02_25</vt:lpstr>
      <vt:lpstr>'Temperatura+Umidade+Site'!tempoCapitais.php?data_2020_02_26</vt:lpstr>
      <vt:lpstr>'Temperatura+Umidade+Site'!tempoCapitais.php?data_2020_02_27</vt:lpstr>
      <vt:lpstr>'Temperatura+Umidade+Site'!tempoCapitais.php?data_2020_02_28</vt:lpstr>
      <vt:lpstr>'Temperatura+Umidade+Site'!tempoCapitais.php?data_2020_02_29</vt:lpstr>
      <vt:lpstr>'Temperatura+Umidade+Site'!tempoCapitais.php?data_2020_03_01</vt:lpstr>
      <vt:lpstr>'Temperatura+Umidade+Site'!tempoCapitais.php?data_2020_03_02</vt:lpstr>
      <vt:lpstr>'Temperatura+Umidade+Site'!tempoCapitais.php?data_2020_03_03</vt:lpstr>
      <vt:lpstr>'Temperatura+Umidade+Site'!tempoCapitais.php?data_2020_03_04</vt:lpstr>
      <vt:lpstr>'Temperatura+Umidade+Site'!tempoCapitais.php?data_2020_03_05</vt:lpstr>
      <vt:lpstr>'Temperatura+Umidade+Site'!tempoCapitais.php?data_2020_03_06</vt:lpstr>
      <vt:lpstr>'Temperatura+Umidade+Site'!tempoCapitais.php?data_2020_03_06_1</vt:lpstr>
      <vt:lpstr>'Temperatura+Umidade+Site'!tempoCapitais.php?data_2020_03_07</vt:lpstr>
      <vt:lpstr>'Temperatura+Umidade+Site'!tempoCapitais.php?data_2020_03_08</vt:lpstr>
      <vt:lpstr>'Temperatura+Umidade+Site'!tempoCapitais.php?data_2020_03_09</vt:lpstr>
      <vt:lpstr>'Temperatura+Umidade+Site'!tempoCapitais.php?data_2020_03_10</vt:lpstr>
      <vt:lpstr>'Temperatura+Umidade+Site'!tempoCapitais.php?data_2020_03_11</vt:lpstr>
      <vt:lpstr>'Temperatura+Umidade+Site'!tempoCapitais.php?data_2020_03_12</vt:lpstr>
      <vt:lpstr>'Temperatura+Umidade+Site'!tempoCapitais.php?data_2020_03_13</vt:lpstr>
      <vt:lpstr>'Temperatura+Umidade+Site'!tempoCapitais.php?data_2020_03_13_1</vt:lpstr>
      <vt:lpstr>'Temperatura+Umidade+Site'!tempoCapitais.php?data_2020_03_14</vt:lpstr>
      <vt:lpstr>'Temperatura+Umidade+Site'!tempoCapitais.php?data_2020_03_14_1</vt:lpstr>
      <vt:lpstr>'Temperatura+Umidade+Site'!tempoCapitais.php?data_2020_03_15</vt:lpstr>
      <vt:lpstr>'Temperatura+Umidade+Site'!tempoCapitais.php?data_2020_03_15_1</vt:lpstr>
      <vt:lpstr>'Temperatura+Umidade+Site'!tempoCapitais.php?data_2020_03_16</vt:lpstr>
      <vt:lpstr>'Temperatura+Umidade+Site'!tempoCapitais.php?data_2020_03_17</vt:lpstr>
      <vt:lpstr>'Temperatura+Umidade+Site'!tempoCapitais.php?data_2020_03_18</vt:lpstr>
      <vt:lpstr>'Temperatura+Umidade+Site'!tempoCapitais.php?data_2020_03_19</vt:lpstr>
      <vt:lpstr>'Temperatura+Umidade+Site'!tempoCapitais.php?data_2020_03_20</vt:lpstr>
      <vt:lpstr>'Temperatura+Umidade+Site'!tempoCapitais.php?data_2020_03_21</vt:lpstr>
      <vt:lpstr>'Temperatura+Umidade+Site'!tempoCapitais.php?data_2020_03_23</vt:lpstr>
      <vt:lpstr>'Temperatura+Umidade+Site'!tempoCapitais.php?data_2020_03_24</vt:lpstr>
      <vt:lpstr>'Temperatura+Umidade+Site'!tempoCapitais.php?data_2020_03_25</vt:lpstr>
      <vt:lpstr>'Temperatura+Umidade+Site'!tempoCapitais.php?data_2020_03_26</vt:lpstr>
      <vt:lpstr>'Temperatura+Umidade+Site'!tempoCapitais.php?data_2020_03_27</vt:lpstr>
      <vt:lpstr>'Temperatura+Umidade+Site'!tempoCapitais.php?data_2020_03_28</vt:lpstr>
      <vt:lpstr>'Temperatura+Umidade+Site'!tempoCapitais.php?data_2020_03_29</vt:lpstr>
      <vt:lpstr>'Temperatura+Umidade+Site'!tempoCapitais.php?data_2020_03_30</vt:lpstr>
      <vt:lpstr>'Temperatura+Umidade+Site'!tempoCapitais.php?data_2020_03_31</vt:lpstr>
      <vt:lpstr>'Temperatura+Umidade+Site'!tempoCapitais.php?data_2020_04_01</vt:lpstr>
      <vt:lpstr>'Temperatura+Umidade+Site'!tempoCapitais.php?data_2020_04_02</vt:lpstr>
      <vt:lpstr>'Temperatura+Umidade+Site'!tempoCapitais.php?data_2020_04_03</vt:lpstr>
      <vt:lpstr>'Temperatura+Umidade+Site'!tempoCapitais.php?data_2020_04_04</vt:lpstr>
      <vt:lpstr>'Temperatura+Umidade+Site'!tempoCapitais.php?data_2020_04_07</vt:lpstr>
      <vt:lpstr>'Temperatura+Umidade+Site'!tempoCapitais.php?data_2020_04_08</vt:lpstr>
      <vt:lpstr>'Temperatura+Umidade+Site'!tempoCapitais.php?data_2020_04_09</vt:lpstr>
      <vt:lpstr>'Temperatura+Umidade+Site'!tempoCapitais.php?data_2020_04_09_1</vt:lpstr>
      <vt:lpstr>'Temperatura+Umidade+Site'!tempoCapitais.php?data_2020_04_10</vt:lpstr>
      <vt:lpstr>'Temperatura+Umidade+Site'!tempoCapitais.php?data_2020_04_11</vt:lpstr>
      <vt:lpstr>'Temperatura+Umidade+Site'!tempoCapitais.php?data_2020_04_12</vt:lpstr>
      <vt:lpstr>'Temperatura+Umidade+Site'!tempoCapitais.php?data_2020_04_12_1</vt:lpstr>
      <vt:lpstr>'Temperatura+Umidade+Site'!tempoCapitais.php?data_2020_04_13</vt:lpstr>
      <vt:lpstr>'Temperatura+Umidade+Site'!tempoCapitais.php?data_2020_04_14</vt:lpstr>
      <vt:lpstr>'Temperatura+Umidade+Site'!tempoCapitais.php?data_2020_04_15</vt:lpstr>
      <vt:lpstr>'Temperatura+Umidade+Site'!tempoCapitais.php?data_2020_04_16</vt:lpstr>
      <vt:lpstr>'Temperatura+Umidade+Site'!tempoCapitais.php?data_2020_04_17</vt:lpstr>
      <vt:lpstr>'Temperatura+Umidade+Site'!tempoCapitais.php?data_2020_04_18</vt:lpstr>
      <vt:lpstr>'Temperatura+Umidade+Site'!tempoCapitais.php?data_2020_04_19</vt:lpstr>
      <vt:lpstr>'Temperatura+Umidade+Site'!tempoCapitais.php?data_2020_04_20</vt:lpstr>
      <vt:lpstr>'Temperatura+Umidade+Site'!tempoCapitais.php?data_2020_04_21</vt:lpstr>
      <vt:lpstr>'Temperatura+Umidade+Site'!tempoCapitais.php?data_2020_04_22</vt:lpstr>
      <vt:lpstr>'Temperatura+Umidade+Site'!tempoCapitais.php?data_2020_04_23</vt:lpstr>
      <vt:lpstr>'Temperatura+Umidade+Site'!tempoCapitais.php?data_2020_04_23_1</vt:lpstr>
      <vt:lpstr>'Temperatura+Umidade+Site'!tempoCapitais.php?data_2020_04_24</vt:lpstr>
      <vt:lpstr>'Temperatura+Umidade+Site'!tempoCapitais.php?data_2020_04_25</vt:lpstr>
      <vt:lpstr>'Temperatura+Umidade+Site'!tempoCapitais.php?data_2020_04_26</vt:lpstr>
      <vt:lpstr>'Temperatura+Umidade+Site'!tempoCapitais.php?data_2020_04_27</vt:lpstr>
      <vt:lpstr>'Temperatura+Umidade+Site'!tempoCapitais.php?data_2020_04_28</vt:lpstr>
      <vt:lpstr>'Temperatura+Umidade+Site'!tempoCapitais.php?data_2020_04_29</vt:lpstr>
      <vt:lpstr>'Temperatura+Umidade+Site'!tempoCapitais.php?data_2020_04_29_1</vt:lpstr>
      <vt:lpstr>'Temperatura+Umidade+Site'!tempoCapitais.php?data_2020_04_29_2</vt:lpstr>
      <vt:lpstr>'Temperatura+Umidade+Site'!tempoCapitais.php?data_2020_04_30</vt:lpstr>
      <vt:lpstr>'Temperatura+Umidade+Site'!tempoCapitais.php?data_2020_04_30_1</vt:lpstr>
      <vt:lpstr>'Temperatura+Umidade+Site'!tempoCapitais.php?data_2020_05_01</vt:lpstr>
      <vt:lpstr>'Temperatura+Umidade+Site'!tempoCapitais.php?data_2020_05_01_1</vt:lpstr>
      <vt:lpstr>'Temperatura+Umidade+Site'!tempoCapitais.php?data_2020_05_02</vt:lpstr>
      <vt:lpstr>'Temperatura+Umidade+Site'!tempoCapitais.php?data_2020_05_02_1</vt:lpstr>
      <vt:lpstr>'Temperatura+Umidade+Site'!tempoCapitais.php?data_2020_05_03</vt:lpstr>
      <vt:lpstr>'Temperatura+Umidade+Site'!tempoCapitais.php?data_2020_05_04</vt:lpstr>
      <vt:lpstr>'Temperatura+Umidade+Site'!tempoCapitais.php?data_2020_05_05</vt:lpstr>
      <vt:lpstr>'Temperatura+Umidade+Site'!tempoCapitais.php?data_2020_05_05_1</vt:lpstr>
      <vt:lpstr>'Temperatura+Umidade+Site'!tempoCapitais.php?data_2020_05_06</vt:lpstr>
      <vt:lpstr>'Temperatura+Umidade+Site'!tempoCapitais.php?data_2020_05_07</vt:lpstr>
      <vt:lpstr>'Temperatura+Umidade+Site'!tempoCapitais.php?data_2020_05_08</vt:lpstr>
      <vt:lpstr>'Temperatura+Umidade+Site'!tempoCapitais.php?data_2020_05_09</vt:lpstr>
      <vt:lpstr>'Temperatura+Umidade+Site'!tempoCapitais.php?data_2020_05_09_1</vt:lpstr>
      <vt:lpstr>'Temperatura+Umidade+Site'!tempoCapitais.php?data_2020_05_11</vt:lpstr>
      <vt:lpstr>'Temperatura+Umidade+Site'!tempoCapitais.php?data_2020_05_12</vt:lpstr>
      <vt:lpstr>'Temperatura+Umidade+Site'!tempoCapitais.php?data_2020_05_13</vt:lpstr>
      <vt:lpstr>'Temperatura+Umidade+Site'!tempoCapitais.php?data_2020_05_14</vt:lpstr>
      <vt:lpstr>'Temperatura+Umidade+Site'!tempoCapitais.php?data_2020_05_14_1</vt:lpstr>
      <vt:lpstr>'Temperatura+Umidade+Site'!tempoCapitais.php?data_2020_05_15</vt:lpstr>
      <vt:lpstr>'Temperatura+Umidade+Site'!tempoCapitais.php?data_2020_05_16</vt:lpstr>
      <vt:lpstr>'Temperatura+Umidade+Site'!tempoCapitais.php?data_2020_05_17</vt:lpstr>
      <vt:lpstr>'Temperatura+Umidade+Site'!tempoCapitais.php?data_2020_05_17_1</vt:lpstr>
      <vt:lpstr>'Temperatura+Umidade+Site'!tempoCapitais.php?data_2020_05_18</vt:lpstr>
      <vt:lpstr>'Temperatura+Umidade+Site'!tempoCapitais.php?data_2020_05_19</vt:lpstr>
      <vt:lpstr>'Temperatura+Umidade+Site'!tempoCapitais.php?data_2020_05_20</vt:lpstr>
      <vt:lpstr>'Temperatura+Umidade+Site'!tempoCapitais.php?data_2020_05_21</vt:lpstr>
      <vt:lpstr>'Temperatura+Umidade+Site'!tempoCapitais.php?data_2020_05_21_1</vt:lpstr>
      <vt:lpstr>'Temperatura+Umidade+Site'!tempoCapitais.php?data_2020_05_22</vt:lpstr>
      <vt:lpstr>'Temperatura+Umidade+Site'!tempoCapitais.php?data_2020_05_23</vt:lpstr>
      <vt:lpstr>'Temperatura+Umidade+Site'!tempoCapitais.php?data_2020_05_23_1</vt:lpstr>
      <vt:lpstr>'Temperatura+Umidade+Site'!tempoCapitais.php?data_2020_05_24</vt:lpstr>
      <vt:lpstr>'Temperatura+Umidade+Site'!tempoCapitais.php?data_2020_05_25</vt:lpstr>
      <vt:lpstr>'Temperatura+Umidade+Site'!tempoCapitais.php?data_2020_05_25_1</vt:lpstr>
      <vt:lpstr>'Temperatura+Umidade+Site'!tempoCapitais.php?data_2020_05_26</vt:lpstr>
      <vt:lpstr>'Temperatura+Umidade+Site'!tempoCapitais.php?data_2020_05_26_1</vt:lpstr>
      <vt:lpstr>'Temperatura+Umidade+Site'!tempoCapitais.php?data_2020_05_27</vt:lpstr>
      <vt:lpstr>'Temperatura+Umidade+Site'!tempoCapitais.php?data_2020_05_28</vt:lpstr>
      <vt:lpstr>'Temperatura+Umidade+Site'!tempoCapitais.php?data_2020_05_29</vt:lpstr>
      <vt:lpstr>'Temperatura+Umidade+Site'!tempoCapitais.php?data_2020_05_30</vt:lpstr>
      <vt:lpstr>'Temperatura+Umidade+Site'!tempoCapitais.php?data_2020_05_30_1</vt:lpstr>
      <vt:lpstr>'Temperatura+Umidade+Site'!tempoCapitais.php?data_2020_06_05</vt:lpstr>
      <vt:lpstr>'Temperatura+Umidade+Site'!tempoCapitais.php?data_2020_06_05_1</vt:lpstr>
      <vt:lpstr>'Temperatura+Umidade+Site'!tempoCapitais.php?data_2020_06_05_2</vt:lpstr>
      <vt:lpstr>'Temperatura+Umidade+Site'!tempoCapitais.php?data_2020_06_06</vt:lpstr>
      <vt:lpstr>'Temperatura+Umidade+Site'!tempoCapitais.php?data_2020_06_06_1</vt:lpstr>
      <vt:lpstr>'Temperatura+Umidade+Site'!tempoCapitais.php?data_2020_06_07</vt:lpstr>
      <vt:lpstr>'Temperatura+Umidade+Site'!tempoCapitais.php?data_2020_06_07_1</vt:lpstr>
      <vt:lpstr>'Temperatura+Umidade+Site'!tempoCapitais.php?data_2020_06_14</vt:lpstr>
      <vt:lpstr>'Temperatura+Umidade+Site'!tempoCapitais.php?data_2020_06_14_1</vt:lpstr>
      <vt:lpstr>'Temperatura+Umidade+Site'!tempoCapitais.php?data_2020_06_26</vt:lpstr>
      <vt:lpstr>'Temperatura+Umidade+Site'!tempoCapitais.php?data_2020_06_27</vt:lpstr>
      <vt:lpstr>'Temperatura+Umidade+Site'!tempoCapitais.php?data_2020_06_27_1</vt:lpstr>
      <vt:lpstr>'Temperatura+Umidade+Site'!tempoCapitais.php?data_2020_06_28</vt:lpstr>
      <vt:lpstr>'Temperatura+Umidade+Site'!tempoCapitais.php?data_2020_06_28_1</vt:lpstr>
      <vt:lpstr>'Temperatura+Umidade+Site'!tempoCapitais.php?data_2020_06_29</vt:lpstr>
      <vt:lpstr>'Temperatura+Umidade+Site'!tempoCapitais.php?data_2020_06_29_1</vt:lpstr>
      <vt:lpstr>'Temperatura+Umidade+Site'!tempoCapitais.php?data_2020_06_30</vt:lpstr>
      <vt:lpstr>'Temperatura+Umidade+Site'!tempoCapitais.php?data_2020_07_01</vt:lpstr>
      <vt:lpstr>'Temperatura+Umidade+Site'!tempoCapitais.php?data_2020_07_02</vt:lpstr>
      <vt:lpstr>'Temperatura+Umidade+Site'!tempoCapitais.php?data_2020_07_03</vt:lpstr>
      <vt:lpstr>'Temperatura+Umidade+Site'!tempoCapitais.php?data_2020_07_03_1</vt:lpstr>
      <vt:lpstr>'Temperatura+Umidade+Site'!tempoCapitais.php?data_2020_07_03_2</vt:lpstr>
      <vt:lpstr>'Temperatura+Umidade+Site'!tempoCapitais.php?data_2020_07_04</vt:lpstr>
      <vt:lpstr>'Temperatura+Umidade+Site'!tempoCapitais.php?data_2020_07_07</vt:lpstr>
      <vt:lpstr>'Temperatura+Umidade+Site'!tempoCapitais.php?data_2020_07_08</vt:lpstr>
      <vt:lpstr>'Temperatura+Umidade+Site'!tempoCapitais.php?data_2020_07_09</vt:lpstr>
      <vt:lpstr>'Temperatura+Umidade+Site'!tempoCapitais.php?data_2020_07_12</vt:lpstr>
      <vt:lpstr>'Temperatura+Umidade+Site'!tempoCapitais.php?data_2020_07_12_1</vt:lpstr>
      <vt:lpstr>'Temperatura+Umidade+Site'!tempoCapitais.php?data_2020_07_13</vt:lpstr>
      <vt:lpstr>'Temperatura+Umidade+Site'!tempoCapitais.php?data_2020_07_13_1</vt:lpstr>
      <vt:lpstr>'Temperatura+Umidade+Site'!tempoCapitais.php?data_2020_07_14</vt:lpstr>
      <vt:lpstr>'Temperatura+Umidade+Site'!tempoCapitais.php?data_2020_07_15</vt:lpstr>
      <vt:lpstr>'Temperatura+Umidade+Site'!tempoCapitais.php?data_2020_07_16</vt:lpstr>
      <vt:lpstr>'Temperatura+Umidade+Site'!tempoCapitais.php?data_2020_07_17</vt:lpstr>
      <vt:lpstr>'Temperatura+Umidade+Site'!tempoCapitais.php?data_2020_07_18</vt:lpstr>
      <vt:lpstr>'Temperatura+Umidade+Site'!tempoCapitais.php?data_2020_07_19</vt:lpstr>
      <vt:lpstr>'Temperatura+Umidade+Site'!tempoCapitais.php?data_2020_07_20</vt:lpstr>
      <vt:lpstr>'Temperatura+Umidade+Site'!tempoCapitais.php?data_2020_07_21</vt:lpstr>
      <vt:lpstr>'Temperatura+Umidade+Site'!tempoCapitais.php?data_2020_07_22</vt:lpstr>
      <vt:lpstr>'Temperatura+Umidade+Site'!tempoCapitais.php?data_2020_07_23</vt:lpstr>
      <vt:lpstr>'Temperatura+Umidade+Site'!tempoCapitais.php?data_2020_07_27</vt:lpstr>
      <vt:lpstr>'Temperatura+Umidade+Site'!tempoCapitais.php?data_2020_07_28</vt:lpstr>
      <vt:lpstr>'Temperatura+Umidade+Site'!tempoCapitais.php?data_2020_07_29</vt:lpstr>
      <vt:lpstr>'Temperatura+Umidade+Site'!tempoCapitais.php?data_2020_07_30</vt:lpstr>
      <vt:lpstr>'Temperatura+Umidade+Site'!tempoCapitais.php?data_2020_07_30_1</vt:lpstr>
      <vt:lpstr>'Temperatura+Umidade+Site'!tempoCapitais.php?data_2020_07_31</vt:lpstr>
      <vt:lpstr>'Temperatura+Umidade+Site'!tempoCapitais.php?data_2020_08_01</vt:lpstr>
      <vt:lpstr>'Temperatura+Umidade+Site'!tempoCapitais.php?data_2020_08_01_1</vt:lpstr>
      <vt:lpstr>'Temperatura+Umidade+Site'!tempoCapitais.php?data_2020_08_02</vt:lpstr>
      <vt:lpstr>'Temperatura+Umidade+Site'!tempoCapitais.php?data_2020_08_02_1</vt:lpstr>
      <vt:lpstr>'Temperatura+Umidade+Site'!tempoCapitais.php?data_2020_08_03</vt:lpstr>
      <vt:lpstr>'Temperatura+Umidade+Site'!tempoCapitais.php?data_2020_08_04</vt:lpstr>
      <vt:lpstr>'Temperatura+Umidade+Site'!tempoCapitais.php?data_2020_09_01</vt:lpstr>
      <vt:lpstr>'Temperatura+Umidade+Site'!tempoCapitais.php?data_2020_09_02</vt:lpstr>
      <vt:lpstr>'Temperatura+Umidade+Site'!tempoCapitais.php?data_2020_09_03</vt:lpstr>
      <vt:lpstr>'Temperatura+Umidade+Site'!tempoCapitais.php?data_2020_09_07</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Beatriz da Silva Bernardino</dc:creator>
  <cp:lastModifiedBy>Daniel Orlandi</cp:lastModifiedBy>
  <cp:lastPrinted>2018-01-29T12:59:24Z</cp:lastPrinted>
  <dcterms:created xsi:type="dcterms:W3CDTF">2017-12-14T18:24:02Z</dcterms:created>
  <dcterms:modified xsi:type="dcterms:W3CDTF">2021-04-08T15:30:11Z</dcterms:modified>
</cp:coreProperties>
</file>